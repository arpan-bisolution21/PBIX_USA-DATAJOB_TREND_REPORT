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G:\back up\Downloads\"/>
    </mc:Choice>
  </mc:AlternateContent>
  <xr:revisionPtr revIDLastSave="0" documentId="13_ncr:1_{462B2E04-7F97-4E66-9294-CE0293E2510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set" sheetId="1" r:id="rId1"/>
    <sheet name="Pivot Tables " sheetId="2" r:id="rId2"/>
    <sheet name="Skill contribution as per Job" sheetId="3" r:id="rId3"/>
    <sheet name="Insights" sheetId="4" r:id="rId4"/>
  </sheets>
  <definedNames>
    <definedName name="_xlnm._FilterDatabase" localSheetId="0" hidden="1">Dataset!$A$1:$AM$743</definedName>
    <definedName name="Slicer_Degree">#REF!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RkK8VBUzN7Cj5pnvA3rD9hZsWpLtc5G/mGIZCSYuWuM="/>
    </ext>
  </extLst>
</workbook>
</file>

<file path=xl/calcChain.xml><?xml version="1.0" encoding="utf-8"?>
<calcChain xmlns="http://schemas.openxmlformats.org/spreadsheetml/2006/main">
  <c r="AL63" i="2" l="1"/>
  <c r="AH28" i="2"/>
  <c r="R12" i="2"/>
  <c r="V6" i="2"/>
  <c r="AM3" i="2"/>
  <c r="AM4" i="2" s="1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T743" i="1"/>
  <c r="T741" i="1"/>
  <c r="T740" i="1"/>
  <c r="T739" i="1"/>
  <c r="T738" i="1"/>
  <c r="T737" i="1"/>
  <c r="T736" i="1"/>
  <c r="T735" i="1"/>
  <c r="T734" i="1"/>
  <c r="T733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4" i="1"/>
  <c r="T683" i="1"/>
  <c r="T682" i="1"/>
  <c r="T681" i="1"/>
  <c r="T680" i="1"/>
  <c r="T679" i="1"/>
  <c r="T678" i="1"/>
  <c r="T676" i="1"/>
  <c r="T675" i="1"/>
  <c r="T674" i="1"/>
  <c r="T673" i="1"/>
  <c r="T672" i="1"/>
  <c r="T671" i="1"/>
  <c r="T669" i="1"/>
  <c r="T668" i="1"/>
  <c r="T667" i="1"/>
  <c r="T666" i="1"/>
  <c r="T665" i="1"/>
  <c r="T664" i="1"/>
  <c r="T663" i="1"/>
  <c r="T662" i="1"/>
  <c r="T661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1" i="1"/>
  <c r="T620" i="1"/>
  <c r="T619" i="1"/>
  <c r="T618" i="1"/>
  <c r="T617" i="1"/>
  <c r="T616" i="1"/>
  <c r="T615" i="1"/>
  <c r="T614" i="1"/>
  <c r="T613" i="1"/>
  <c r="T612" i="1"/>
  <c r="T610" i="1"/>
  <c r="T609" i="1"/>
  <c r="T608" i="1"/>
  <c r="T607" i="1"/>
  <c r="T606" i="1"/>
  <c r="T604" i="1"/>
  <c r="T603" i="1"/>
  <c r="T602" i="1"/>
  <c r="T601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2" i="1"/>
  <c r="T581" i="1"/>
  <c r="T580" i="1"/>
  <c r="T579" i="1"/>
  <c r="T578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0" i="1"/>
  <c r="T559" i="1"/>
  <c r="T558" i="1"/>
  <c r="T557" i="1"/>
  <c r="T556" i="1"/>
  <c r="T555" i="1"/>
  <c r="T554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2" i="1"/>
  <c r="T511" i="1"/>
  <c r="T510" i="1"/>
  <c r="T509" i="1"/>
  <c r="T508" i="1"/>
  <c r="T507" i="1"/>
  <c r="T506" i="1"/>
  <c r="T505" i="1"/>
  <c r="T504" i="1"/>
  <c r="T502" i="1"/>
  <c r="T501" i="1"/>
  <c r="T500" i="1"/>
  <c r="T499" i="1"/>
  <c r="T498" i="1"/>
  <c r="T497" i="1"/>
  <c r="T496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6" i="1"/>
  <c r="T465" i="1"/>
  <c r="T464" i="1"/>
  <c r="T463" i="1"/>
  <c r="T462" i="1"/>
  <c r="T461" i="1"/>
  <c r="T459" i="1"/>
  <c r="T457" i="1"/>
  <c r="T456" i="1"/>
  <c r="T455" i="1"/>
  <c r="T452" i="1"/>
  <c r="T450" i="1"/>
  <c r="T449" i="1"/>
  <c r="T448" i="1"/>
  <c r="T447" i="1"/>
  <c r="T446" i="1"/>
  <c r="T445" i="1"/>
  <c r="T444" i="1"/>
  <c r="T443" i="1"/>
  <c r="T442" i="1"/>
  <c r="T441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3" i="1"/>
  <c r="T412" i="1"/>
  <c r="T411" i="1"/>
  <c r="T410" i="1"/>
  <c r="T409" i="1"/>
  <c r="T408" i="1"/>
  <c r="T407" i="1"/>
  <c r="T405" i="1"/>
  <c r="T404" i="1"/>
  <c r="T403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4" i="1"/>
  <c r="T373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2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8" i="1"/>
  <c r="T306" i="1"/>
  <c r="T305" i="1"/>
  <c r="T304" i="1"/>
  <c r="T303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5" i="1"/>
  <c r="T264" i="1"/>
  <c r="T263" i="1"/>
  <c r="T262" i="1"/>
  <c r="T261" i="1"/>
  <c r="T260" i="1"/>
  <c r="T259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1" i="1"/>
  <c r="T230" i="1"/>
  <c r="T229" i="1"/>
  <c r="T228" i="1"/>
  <c r="T227" i="1"/>
  <c r="T226" i="1"/>
  <c r="T225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199" i="1"/>
  <c r="T198" i="1"/>
  <c r="T197" i="1"/>
  <c r="T196" i="1"/>
  <c r="T195" i="1"/>
  <c r="T194" i="1"/>
  <c r="T193" i="1"/>
  <c r="T192" i="1"/>
  <c r="T190" i="1"/>
  <c r="T189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6" i="1"/>
  <c r="T45" i="1"/>
  <c r="T44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<sst xmlns="http://schemas.openxmlformats.org/spreadsheetml/2006/main" count="10944" uniqueCount="1292">
  <si>
    <t>ID</t>
  </si>
  <si>
    <t>Job_Title</t>
  </si>
  <si>
    <t>Rating</t>
  </si>
  <si>
    <t>Company_Name</t>
  </si>
  <si>
    <t>Location</t>
  </si>
  <si>
    <t>Headquarters</t>
  </si>
  <si>
    <t>Size</t>
  </si>
  <si>
    <t>Founded</t>
  </si>
  <si>
    <t>Type_of_ownership</t>
  </si>
  <si>
    <t>Industry</t>
  </si>
  <si>
    <t>Sector</t>
  </si>
  <si>
    <t>Revenue</t>
  </si>
  <si>
    <t>Competitors</t>
  </si>
  <si>
    <t>Hourly</t>
  </si>
  <si>
    <t>Employer_provided</t>
  </si>
  <si>
    <t>Lower_Salary</t>
  </si>
  <si>
    <t>Upper_Salary</t>
  </si>
  <si>
    <t>Avg_SalaryK</t>
  </si>
  <si>
    <t>Job_Location</t>
  </si>
  <si>
    <t>Age</t>
  </si>
  <si>
    <t>Python</t>
  </si>
  <si>
    <t>spark</t>
  </si>
  <si>
    <t>aws</t>
  </si>
  <si>
    <t>excel</t>
  </si>
  <si>
    <t>sql_</t>
  </si>
  <si>
    <t>sas</t>
  </si>
  <si>
    <t>keras</t>
  </si>
  <si>
    <t>pytorch</t>
  </si>
  <si>
    <t>scikit</t>
  </si>
  <si>
    <t>tensor</t>
  </si>
  <si>
    <t>hadoop</t>
  </si>
  <si>
    <t>tableau</t>
  </si>
  <si>
    <t>bi</t>
  </si>
  <si>
    <t>flink</t>
  </si>
  <si>
    <t>mongo</t>
  </si>
  <si>
    <t>google_an</t>
  </si>
  <si>
    <t>job_title_sim</t>
  </si>
  <si>
    <t>seniority_by_title</t>
  </si>
  <si>
    <t>Degree</t>
  </si>
  <si>
    <t>Data Scientist</t>
  </si>
  <si>
    <t>Tecolote Research</t>
  </si>
  <si>
    <t>Albuquerque | NM</t>
  </si>
  <si>
    <t>Goleta | CA</t>
  </si>
  <si>
    <t>501 - 1000</t>
  </si>
  <si>
    <t>Private</t>
  </si>
  <si>
    <t>Aerospace &amp; Defense</t>
  </si>
  <si>
    <t xml:space="preserve">100 million </t>
  </si>
  <si>
    <t>Unknown</t>
  </si>
  <si>
    <t>NM</t>
  </si>
  <si>
    <t>data scientist</t>
  </si>
  <si>
    <t>intermediate</t>
  </si>
  <si>
    <t>Masters</t>
  </si>
  <si>
    <t>Healthcare Data Scientist</t>
  </si>
  <si>
    <t>University of Maryland Medical System</t>
  </si>
  <si>
    <t>Linthicum | MD</t>
  </si>
  <si>
    <t>Baltimore | MD</t>
  </si>
  <si>
    <t>10000+</t>
  </si>
  <si>
    <t>Other Organization</t>
  </si>
  <si>
    <t>Health Care Services &amp; Hospitals</t>
  </si>
  <si>
    <t>Health Care</t>
  </si>
  <si>
    <t xml:space="preserve">5 billion </t>
  </si>
  <si>
    <t>MD</t>
  </si>
  <si>
    <t>KnowBe4</t>
  </si>
  <si>
    <t>Clearwater | FL</t>
  </si>
  <si>
    <t>Security Services</t>
  </si>
  <si>
    <t>Business Services</t>
  </si>
  <si>
    <t>500 million</t>
  </si>
  <si>
    <t>FL</t>
  </si>
  <si>
    <t>PNNL</t>
  </si>
  <si>
    <t>Richland | WA</t>
  </si>
  <si>
    <t>1001 - 5000</t>
  </si>
  <si>
    <t>Government</t>
  </si>
  <si>
    <t>Energy</t>
  </si>
  <si>
    <t>Oil, Gas, Energy &amp; Utilities</t>
  </si>
  <si>
    <t>750 million</t>
  </si>
  <si>
    <t>Oak Ridge National Laboratory, National Renewable Energy Lab, Los Alamos National Laboratory</t>
  </si>
  <si>
    <t>WA</t>
  </si>
  <si>
    <t>Graduates</t>
  </si>
  <si>
    <t>Affinity Solutions</t>
  </si>
  <si>
    <t>New | NY</t>
  </si>
  <si>
    <t>New York | NY</t>
  </si>
  <si>
    <t>51 - 200</t>
  </si>
  <si>
    <t>Advertising &amp; Marketing</t>
  </si>
  <si>
    <t>Unknown / Non-Applicable</t>
  </si>
  <si>
    <t>Commerce Signals, Cardlytics, Yodlee</t>
  </si>
  <si>
    <t>NY</t>
  </si>
  <si>
    <t>CyrusOne</t>
  </si>
  <si>
    <t>Dallas | TX</t>
  </si>
  <si>
    <t>201 - 500</t>
  </si>
  <si>
    <t>Public</t>
  </si>
  <si>
    <t>Real Estate</t>
  </si>
  <si>
    <t xml:space="preserve">2 billion </t>
  </si>
  <si>
    <t>Digital Realty, CoreSite, Equinix</t>
  </si>
  <si>
    <t>TX</t>
  </si>
  <si>
    <t>ClearOne Advantage</t>
  </si>
  <si>
    <t>Banks &amp; Credit Unions</t>
  </si>
  <si>
    <t>Finance</t>
  </si>
  <si>
    <t>Logic20/20</t>
  </si>
  <si>
    <t>San | CA</t>
  </si>
  <si>
    <t>Seattle | WA</t>
  </si>
  <si>
    <t>Consulting</t>
  </si>
  <si>
    <t xml:space="preserve">50 million </t>
  </si>
  <si>
    <t>CA</t>
  </si>
  <si>
    <t>Research Scientist</t>
  </si>
  <si>
    <t>Rochester Regional Health</t>
  </si>
  <si>
    <t>Rochester | NY</t>
  </si>
  <si>
    <t>Hospital</t>
  </si>
  <si>
    <t>other scientist</t>
  </si>
  <si>
    <t>Post Graduates</t>
  </si>
  <si>
    <t>&lt;intent&gt;</t>
  </si>
  <si>
    <t>Internet</t>
  </si>
  <si>
    <t>Information Technology</t>
  </si>
  <si>
    <t>Clicktripz, SmarterTravel</t>
  </si>
  <si>
    <t>Wish</t>
  </si>
  <si>
    <t>San Francisco | CA</t>
  </si>
  <si>
    <t>Other Retail Stores</t>
  </si>
  <si>
    <t>Retail</t>
  </si>
  <si>
    <t>ManTech</t>
  </si>
  <si>
    <t>Chantilly | VA</t>
  </si>
  <si>
    <t>Herndon | VA</t>
  </si>
  <si>
    <t>5001 - 10000</t>
  </si>
  <si>
    <t>Research &amp; Development</t>
  </si>
  <si>
    <t>VA</t>
  </si>
  <si>
    <t>Staff Data Scientist - Technology</t>
  </si>
  <si>
    <t>Walmart</t>
  </si>
  <si>
    <t>Plano | TX</t>
  </si>
  <si>
    <t>Bentonville | AR</t>
  </si>
  <si>
    <t>Department, Clothing, &amp; Shoe Stores</t>
  </si>
  <si>
    <t xml:space="preserve">10 billion </t>
  </si>
  <si>
    <t>Target, Costco Wholesale, Amazon</t>
  </si>
  <si>
    <t>Data Analyst</t>
  </si>
  <si>
    <t>Yesler</t>
  </si>
  <si>
    <t>analyst</t>
  </si>
  <si>
    <t>Takeda Pharmaceuticals</t>
  </si>
  <si>
    <t>Cambridge | MA</t>
  </si>
  <si>
    <t>OSAKA | Japan</t>
  </si>
  <si>
    <t>Biotech &amp; Pharmaceuticals</t>
  </si>
  <si>
    <t>Novartis, Baxter, Pfizer</t>
  </si>
  <si>
    <t>MA</t>
  </si>
  <si>
    <t>Data Engineer I</t>
  </si>
  <si>
    <t>Audible</t>
  </si>
  <si>
    <t>Newark | NJ</t>
  </si>
  <si>
    <t>Subsidiary or Business Segment</t>
  </si>
  <si>
    <t>Motion Picture Production &amp; Distribution</t>
  </si>
  <si>
    <t>Media</t>
  </si>
  <si>
    <t>NJ</t>
  </si>
  <si>
    <t>data engineer</t>
  </si>
  <si>
    <t>Scientist I/II, Biology</t>
  </si>
  <si>
    <t>Blueprint Medicines</t>
  </si>
  <si>
    <t>5 million</t>
  </si>
  <si>
    <t>bluebird bio, Agios Pharmaceuticals, Celgene</t>
  </si>
  <si>
    <t>Customer Data Scientist</t>
  </si>
  <si>
    <t>h2o.ai</t>
  </si>
  <si>
    <t>Mountain | CA</t>
  </si>
  <si>
    <t>Mountain View | CA</t>
  </si>
  <si>
    <t>Enterprise Software &amp; Network Solutions</t>
  </si>
  <si>
    <t>Data Scientist - Health Data Analytics</t>
  </si>
  <si>
    <t>Nuna</t>
  </si>
  <si>
    <t>Pinnacol Assurance</t>
  </si>
  <si>
    <t>Denver | CO</t>
  </si>
  <si>
    <t>Nonprofit Organization</t>
  </si>
  <si>
    <t>Insurance Carriers</t>
  </si>
  <si>
    <t>Insurance</t>
  </si>
  <si>
    <t>CO</t>
  </si>
  <si>
    <t>Porch</t>
  </si>
  <si>
    <t>Angie's List, HomeAdvisor, Thumbtack</t>
  </si>
  <si>
    <t>Senior Data Scientist / Machine Learning</t>
  </si>
  <si>
    <t>Health IQ</t>
  </si>
  <si>
    <t>Insurance Agencies &amp; Brokerages</t>
  </si>
  <si>
    <t xml:space="preserve">Senior </t>
  </si>
  <si>
    <t>Data Scientist - Quantitative</t>
  </si>
  <si>
    <t>Truckstop.com</t>
  </si>
  <si>
    <t>Chicago | IL</t>
  </si>
  <si>
    <t>New Plymouth | ID</t>
  </si>
  <si>
    <t>Logistics &amp; Supply Chain</t>
  </si>
  <si>
    <t>Transportation &amp; Logistics</t>
  </si>
  <si>
    <t>IL</t>
  </si>
  <si>
    <t>SMC 3</t>
  </si>
  <si>
    <t>Louisville | KY</t>
  </si>
  <si>
    <t>Peachtree City | GA</t>
  </si>
  <si>
    <t>25 million</t>
  </si>
  <si>
    <t>KY</t>
  </si>
  <si>
    <t>Novetta</t>
  </si>
  <si>
    <t>Mc Lean | VA</t>
  </si>
  <si>
    <t>Leidos, CACI International, Booz Allen Hamilton</t>
  </si>
  <si>
    <t>Digital Health Data Scientist</t>
  </si>
  <si>
    <t>Pfizer</t>
  </si>
  <si>
    <t>First Tech Federal Credit Union</t>
  </si>
  <si>
    <t>Hillsboro | OR</t>
  </si>
  <si>
    <t>San Jose | CA</t>
  </si>
  <si>
    <t>OR</t>
  </si>
  <si>
    <t>Associate Data Analyst</t>
  </si>
  <si>
    <t>The Hanover Insurance Group</t>
  </si>
  <si>
    <t>Worcester | MA</t>
  </si>
  <si>
    <t>10 billion</t>
  </si>
  <si>
    <t>Clinical Data Scientist</t>
  </si>
  <si>
    <t>Groton | CT</t>
  </si>
  <si>
    <t>CT</t>
  </si>
  <si>
    <t>Amrock</t>
  </si>
  <si>
    <t>Detroit | MI</t>
  </si>
  <si>
    <t>MI</t>
  </si>
  <si>
    <t>Data Scientist / Machine Learning Expert</t>
  </si>
  <si>
    <t>Novartis</t>
  </si>
  <si>
    <t>Basel | Switzerland</t>
  </si>
  <si>
    <t>Juniper Networks</t>
  </si>
  <si>
    <t>Sunnyvale | CA</t>
  </si>
  <si>
    <t>Telecommunications Services</t>
  </si>
  <si>
    <t>Telecommunications</t>
  </si>
  <si>
    <t>New England Biolabs</t>
  </si>
  <si>
    <t>Ipswich | MA</t>
  </si>
  <si>
    <t>Thermo Fisher Scientific, Enzymatics, Illumina</t>
  </si>
  <si>
    <t>Web Data Analyst</t>
  </si>
  <si>
    <t>Clarity Insights</t>
  </si>
  <si>
    <t>IT Services</t>
  </si>
  <si>
    <t>Esri</t>
  </si>
  <si>
    <t>Redlands | CA</t>
  </si>
  <si>
    <t>Computer Hardware &amp; Software</t>
  </si>
  <si>
    <t>Pitney Bowes</t>
  </si>
  <si>
    <t>Systems &amp; Technology Research</t>
  </si>
  <si>
    <t>Woburn | MA</t>
  </si>
  <si>
    <t>Senior Data Scientist</t>
  </si>
  <si>
    <t>Sartorius</t>
  </si>
  <si>
    <t>Fremont | CA</t>
  </si>
  <si>
    <t>Gottingen | Germany</t>
  </si>
  <si>
    <t>Data Engineer</t>
  </si>
  <si>
    <t>Lancer Insurance</t>
  </si>
  <si>
    <t>Long | NY</t>
  </si>
  <si>
    <t>Long Beach | NY</t>
  </si>
  <si>
    <t>Sauce Labs</t>
  </si>
  <si>
    <t>BrowserStack, Selenium Master, Perfecto Mobile</t>
  </si>
  <si>
    <t>Persivia</t>
  </si>
  <si>
    <t>Marlborough | MA</t>
  </si>
  <si>
    <t>Lowell | MA</t>
  </si>
  <si>
    <t>1 million</t>
  </si>
  <si>
    <t>Data Scientist - Algorithms &amp; Inference</t>
  </si>
  <si>
    <t>Scientist</t>
  </si>
  <si>
    <t>Edgewell Personal Care</t>
  </si>
  <si>
    <t>Allendale | NJ</t>
  </si>
  <si>
    <t>Shelton | CT</t>
  </si>
  <si>
    <t>Unilever, Procter &amp; Gamble, Henkel</t>
  </si>
  <si>
    <t>Equity Residential</t>
  </si>
  <si>
    <t>UDR, AvalonBay Communities, Essex Property Trust</t>
  </si>
  <si>
    <t>BPA Services</t>
  </si>
  <si>
    <t>Washington | DC</t>
  </si>
  <si>
    <t>Alexandria | VA</t>
  </si>
  <si>
    <t>DC</t>
  </si>
  <si>
    <t>Lead Data Scientist</t>
  </si>
  <si>
    <t>Visa Inc.</t>
  </si>
  <si>
    <t>Bellevue | WA</t>
  </si>
  <si>
    <t>Foster City | CA</t>
  </si>
  <si>
    <t>American Express, Mastercard, Discover</t>
  </si>
  <si>
    <t>Intrado</t>
  </si>
  <si>
    <t>Longmont | CO</t>
  </si>
  <si>
    <t>Omaha | NE</t>
  </si>
  <si>
    <t>Spectral Scientist/Engineer</t>
  </si>
  <si>
    <t>Centauri</t>
  </si>
  <si>
    <t>Beavercreek | OH</t>
  </si>
  <si>
    <t>TASC, Vencore, Booz Allen Hamilton</t>
  </si>
  <si>
    <t>OH</t>
  </si>
  <si>
    <t>College Hire - Data Scientist - Open to December 2019 Graduates</t>
  </si>
  <si>
    <t>Caterpillar</t>
  </si>
  <si>
    <t>Peoria | IL</t>
  </si>
  <si>
    <t>Deerfield | IL</t>
  </si>
  <si>
    <t>John Deere, Komatsu, CNH Industrial</t>
  </si>
  <si>
    <t>Zimmerman Advertising</t>
  </si>
  <si>
    <t>Fort | FL</t>
  </si>
  <si>
    <t>Fort Lauderdale | FL</t>
  </si>
  <si>
    <t>Data Scientist, Office of Data Science</t>
  </si>
  <si>
    <t>Liberty Mutual Insurance</t>
  </si>
  <si>
    <t>Boston | MA</t>
  </si>
  <si>
    <t>Travelers, Allstate, State Farm</t>
  </si>
  <si>
    <t>Data Science Analyst</t>
  </si>
  <si>
    <t>Torch Technologies, Inc.</t>
  </si>
  <si>
    <t>Huntsville | AL</t>
  </si>
  <si>
    <t>AL</t>
  </si>
  <si>
    <t>Swiss Re</t>
  </si>
  <si>
    <t>Armonk | NY</t>
  </si>
  <si>
    <t>Zurich | Switzerland</t>
  </si>
  <si>
    <t>Munich Re, Hannover RE, SCOR</t>
  </si>
  <si>
    <t>Northrop Grumman</t>
  </si>
  <si>
    <t>Falls Church | VA</t>
  </si>
  <si>
    <t>Netskope</t>
  </si>
  <si>
    <t>Santa Clara | CA</t>
  </si>
  <si>
    <t>Skyhigh Networks, Zscaler, NortonLifeLock</t>
  </si>
  <si>
    <t>1904labs</t>
  </si>
  <si>
    <t>Saint | MO</t>
  </si>
  <si>
    <t>Saint Louis | MO</t>
  </si>
  <si>
    <t>Slalom, Daugherty Business Solutions</t>
  </si>
  <si>
    <t>MO</t>
  </si>
  <si>
    <t>The David J. Joseph Company</t>
  </si>
  <si>
    <t>Cincinnati | OH</t>
  </si>
  <si>
    <t>Metals Brokers</t>
  </si>
  <si>
    <t>Mining &amp; Metals</t>
  </si>
  <si>
    <t>USEReady</t>
  </si>
  <si>
    <t>Senior Risk Data Scientist</t>
  </si>
  <si>
    <t>Bill.com</t>
  </si>
  <si>
    <t>Palo | CA</t>
  </si>
  <si>
    <t>Palo Alto | CA</t>
  </si>
  <si>
    <t>Financial Transaction Processing</t>
  </si>
  <si>
    <t>Data Scientist in Artificial Intelligence Early Career</t>
  </si>
  <si>
    <t>Pacific Northwest National Laboratory</t>
  </si>
  <si>
    <t>DICK'S Sporting Goods - Corporate</t>
  </si>
  <si>
    <t>Coraopolis | PA</t>
  </si>
  <si>
    <t>Sporting Goods Stores</t>
  </si>
  <si>
    <t>REI, Academy Sports + Outdoors, Cabela's</t>
  </si>
  <si>
    <t>PA</t>
  </si>
  <si>
    <t>Berg Health</t>
  </si>
  <si>
    <t>Framingham | MA</t>
  </si>
  <si>
    <t>Oversight Systems</t>
  </si>
  <si>
    <t>Atlanta | GA</t>
  </si>
  <si>
    <t>GA</t>
  </si>
  <si>
    <t>Data Scientist - Research</t>
  </si>
  <si>
    <t>C Space</t>
  </si>
  <si>
    <t>IDEO, Gongos, Inc., Ipsos</t>
  </si>
  <si>
    <t>Numeric, LLC</t>
  </si>
  <si>
    <t>Philadelphia | PA</t>
  </si>
  <si>
    <t>Chadds Ford | PA</t>
  </si>
  <si>
    <t>Staffing &amp; Outsourcing</t>
  </si>
  <si>
    <t xml:space="preserve">10 million </t>
  </si>
  <si>
    <t>R&amp;D Data Analysis Scientist</t>
  </si>
  <si>
    <t>HP Inc.</t>
  </si>
  <si>
    <t>Vancouver | WA</t>
  </si>
  <si>
    <t>Analytics Consultant</t>
  </si>
  <si>
    <t>SpringML</t>
  </si>
  <si>
    <t>Indianapolis | IN</t>
  </si>
  <si>
    <t>Pleasanton | CA</t>
  </si>
  <si>
    <t>IN</t>
  </si>
  <si>
    <t>data analitics</t>
  </si>
  <si>
    <t>Director, Data Science</t>
  </si>
  <si>
    <t>Grainger</t>
  </si>
  <si>
    <t>Lake | IL</t>
  </si>
  <si>
    <t>Lake Forest | IL</t>
  </si>
  <si>
    <t>Wholesale</t>
  </si>
  <si>
    <t>EAG Laboratories</t>
  </si>
  <si>
    <t>Maryland | MO</t>
  </si>
  <si>
    <t>San Diego | CA</t>
  </si>
  <si>
    <t>Data Scientist SR</t>
  </si>
  <si>
    <t>The Buffalo Group</t>
  </si>
  <si>
    <t>Charlottesville | VA</t>
  </si>
  <si>
    <t>Reston | VA</t>
  </si>
  <si>
    <t>ManTech, Booz Allen Hamilton, Leidos</t>
  </si>
  <si>
    <t>Carmeuse</t>
  </si>
  <si>
    <t>Pittsburgh | PA</t>
  </si>
  <si>
    <t>Louvain-la-Neuve | Belgium</t>
  </si>
  <si>
    <t>Mining</t>
  </si>
  <si>
    <t>Lhoist, Graymont, Sibelco Group</t>
  </si>
  <si>
    <t>R&amp;D Sr Data Scientist</t>
  </si>
  <si>
    <t>Customer Data Scientist/Sales Engineer (Bay</t>
  </si>
  <si>
    <t>GNS Healthcare</t>
  </si>
  <si>
    <t>Peraton</t>
  </si>
  <si>
    <t>Pactera</t>
  </si>
  <si>
    <t>Beijing | China</t>
  </si>
  <si>
    <t>Infosys, EPAM, Accenture</t>
  </si>
  <si>
    <t>Nurx</t>
  </si>
  <si>
    <t>Jr. Business Data Analyst</t>
  </si>
  <si>
    <t>webfx.com</t>
  </si>
  <si>
    <t>Harrisburg | PA</t>
  </si>
  <si>
    <t>Junior</t>
  </si>
  <si>
    <t>Johns Hopkins University Applied Physics Laboratory</t>
  </si>
  <si>
    <t>Laurel | MD</t>
  </si>
  <si>
    <t>MIT Lincoln Laboratory, Lockheed Martin, Northrop Grumman</t>
  </si>
  <si>
    <t>Productive Edge</t>
  </si>
  <si>
    <t>Numerator, Rise Interactive, Salom</t>
  </si>
  <si>
    <t>Excella Consulting</t>
  </si>
  <si>
    <t>Arlington | VA</t>
  </si>
  <si>
    <t>Gensco</t>
  </si>
  <si>
    <t>Tacoma | WA</t>
  </si>
  <si>
    <t>goTRG</t>
  </si>
  <si>
    <t>Miami | FL</t>
  </si>
  <si>
    <t>Data Management Specialist</t>
  </si>
  <si>
    <t>NMR Consulting</t>
  </si>
  <si>
    <t>E-Commerce Data Analyst</t>
  </si>
  <si>
    <t>iSeatz</t>
  </si>
  <si>
    <t>New | LA</t>
  </si>
  <si>
    <t>New Orleans | LA</t>
  </si>
  <si>
    <t>LA</t>
  </si>
  <si>
    <t>Sr. Scientist II</t>
  </si>
  <si>
    <t>Nektar Therapeutics</t>
  </si>
  <si>
    <t>Bristol-Myers Squibb, Merck, GlaxoSmithKline</t>
  </si>
  <si>
    <t>Insurance Data Scientist</t>
  </si>
  <si>
    <t>TransUnion</t>
  </si>
  <si>
    <t>Financial Analytics &amp; Research</t>
  </si>
  <si>
    <t>Data Modeler</t>
  </si>
  <si>
    <t>IT Concepts</t>
  </si>
  <si>
    <t>Landover | MD</t>
  </si>
  <si>
    <t>Vienna | VA</t>
  </si>
  <si>
    <t>data modeler</t>
  </si>
  <si>
    <t>Data Analyst / Scientist</t>
  </si>
  <si>
    <t>Scientific Research Corporation</t>
  </si>
  <si>
    <t>Patuxent | MD</t>
  </si>
  <si>
    <t>General Dynamics Information Technology</t>
  </si>
  <si>
    <t>Suitland | MD</t>
  </si>
  <si>
    <t>Fairfax | VA</t>
  </si>
  <si>
    <t>SAIC, Leidos, Northrop Grumman</t>
  </si>
  <si>
    <t>MITRE</t>
  </si>
  <si>
    <t>McLean | VA</t>
  </si>
  <si>
    <t>Bedford | MA</t>
  </si>
  <si>
    <t>Federal Agencies</t>
  </si>
  <si>
    <t>Battelle, General Atomics, SAIC</t>
  </si>
  <si>
    <t>Fort | VA</t>
  </si>
  <si>
    <t>DentaQuest</t>
  </si>
  <si>
    <t>Milwaukee | WI</t>
  </si>
  <si>
    <t>MCNA Dental Plans, United Concordia, Delta Dental Plans Association</t>
  </si>
  <si>
    <t>WI</t>
  </si>
  <si>
    <t>Redjack</t>
  </si>
  <si>
    <t>Silver | MD</t>
  </si>
  <si>
    <t>Silver Spring | MD</t>
  </si>
  <si>
    <t>7Park Data</t>
  </si>
  <si>
    <t>Rapid Response Monitoring</t>
  </si>
  <si>
    <t>Syracuse | NY</t>
  </si>
  <si>
    <t>COPS Monitoring, National Monitoring Center, Affiliated Monitoring</t>
  </si>
  <si>
    <t>Data Scientist, Rice University</t>
  </si>
  <si>
    <t>Trilogy Ed</t>
  </si>
  <si>
    <t>Houston | TX</t>
  </si>
  <si>
    <t>Education Training Services</t>
  </si>
  <si>
    <t>Education</t>
  </si>
  <si>
    <t>General Assembly, Kaplan University, Ironhack</t>
  </si>
  <si>
    <t>Gallup</t>
  </si>
  <si>
    <t>Advisory Board, Booz Allen Hamilton, McKinsey &amp; Company</t>
  </si>
  <si>
    <t>CapTech</t>
  </si>
  <si>
    <t>Charlotte | NC</t>
  </si>
  <si>
    <t>Richmond | VA</t>
  </si>
  <si>
    <t>Accenture, North Highland, Deloitte</t>
  </si>
  <si>
    <t>NC</t>
  </si>
  <si>
    <t>American Axle &amp; Manufacturing</t>
  </si>
  <si>
    <t>Southfield | MI</t>
  </si>
  <si>
    <t>Transportation Equipment Manufacturing</t>
  </si>
  <si>
    <t>Manufacturing</t>
  </si>
  <si>
    <t>Financial Data Analyst</t>
  </si>
  <si>
    <t>CentralReach</t>
  </si>
  <si>
    <t>Matawan | NJ</t>
  </si>
  <si>
    <t>Pompano Beach | FL</t>
  </si>
  <si>
    <t>DataFinch Technologies, Accupoint Software Solution, CodeMetro</t>
  </si>
  <si>
    <t>Senior Data Analyst</t>
  </si>
  <si>
    <t>Integrate</t>
  </si>
  <si>
    <t>Phoenix | AZ</t>
  </si>
  <si>
    <t>AZ</t>
  </si>
  <si>
    <t>Boys Town Hospital</t>
  </si>
  <si>
    <t>Nebraska Medicine, Children's Hospital &amp; Medical Center, Methodist Health System - NE and IA</t>
  </si>
  <si>
    <t>NE</t>
  </si>
  <si>
    <t>Demandbase</t>
  </si>
  <si>
    <t>Engagio, Bombora, Terminus</t>
  </si>
  <si>
    <t>Sapphire Digital</t>
  </si>
  <si>
    <t>Lyndhurst | NJ</t>
  </si>
  <si>
    <t>Zocdoc, Healthgrades</t>
  </si>
  <si>
    <t>Formation</t>
  </si>
  <si>
    <t>Autodesk</t>
  </si>
  <si>
    <t>San Rafael | CA</t>
  </si>
  <si>
    <t>Ag Data Scientist</t>
  </si>
  <si>
    <t>Beck's Hybrids</t>
  </si>
  <si>
    <t>Atlanta | IN</t>
  </si>
  <si>
    <t>Farm Support Services</t>
  </si>
  <si>
    <t>Agriculture &amp; Forestry</t>
  </si>
  <si>
    <t>DrFirst</t>
  </si>
  <si>
    <t>Rockville | MD</t>
  </si>
  <si>
    <t>Object Partners</t>
  </si>
  <si>
    <t>Minneapolis | MN</t>
  </si>
  <si>
    <t>Solution Design Group, Intertech (Minnesota)</t>
  </si>
  <si>
    <t>MN</t>
  </si>
  <si>
    <t>Data Scientist II</t>
  </si>
  <si>
    <t>L.A. Care Health Plan</t>
  </si>
  <si>
    <t>Los | CA</t>
  </si>
  <si>
    <t>Los Angeles | CA</t>
  </si>
  <si>
    <t>Health Net, Kaiser Permanente, Molina Healthcare</t>
  </si>
  <si>
    <t>Senior Data Engineer</t>
  </si>
  <si>
    <t>Red Ventures</t>
  </si>
  <si>
    <t>Fort Mill | SC</t>
  </si>
  <si>
    <t>Clearlink, Credit Karma, LendingTree</t>
  </si>
  <si>
    <t>Quick Base</t>
  </si>
  <si>
    <t>The E.W. Scripps Company</t>
  </si>
  <si>
    <t>TV Broadcast &amp; Cable Networks</t>
  </si>
  <si>
    <t>Upside Business Travel</t>
  </si>
  <si>
    <t>Synagro</t>
  </si>
  <si>
    <t>Project Scientist</t>
  </si>
  <si>
    <t>Alliance Source Testing</t>
  </si>
  <si>
    <t>Alabaster | AL</t>
  </si>
  <si>
    <t>Decatur | AL</t>
  </si>
  <si>
    <t>Architectural &amp; Engineering Services</t>
  </si>
  <si>
    <t>Accuride International</t>
  </si>
  <si>
    <t>Santa | CA</t>
  </si>
  <si>
    <t>Santa Fe Springs | CA</t>
  </si>
  <si>
    <t>Industrial Manufacturing</t>
  </si>
  <si>
    <t>Data Analytics Manager</t>
  </si>
  <si>
    <t>Full Potential Solutions</t>
  </si>
  <si>
    <t>Kansas | MO</t>
  </si>
  <si>
    <t>Kansas City | MO</t>
  </si>
  <si>
    <t>Data scientist project manager</t>
  </si>
  <si>
    <t>Senior Machine Learning (ML) Engineer / Data Scientist - Cyber Security Analytics</t>
  </si>
  <si>
    <t>Ashburn | VA</t>
  </si>
  <si>
    <t>Maven Wave Partners</t>
  </si>
  <si>
    <t>First Command Financial Services, Inc.</t>
  </si>
  <si>
    <t>Fort | TX</t>
  </si>
  <si>
    <t>Fort Worth | TX</t>
  </si>
  <si>
    <t>Brokerage Services</t>
  </si>
  <si>
    <t>USAA, Navy Federal Credit Union, Raymond James Financial</t>
  </si>
  <si>
    <t>Associate Scientist</t>
  </si>
  <si>
    <t>Pharmavite</t>
  </si>
  <si>
    <t>Valencia | CA</t>
  </si>
  <si>
    <t>West Hills | CA</t>
  </si>
  <si>
    <t>Consumer Products Manufacturing</t>
  </si>
  <si>
    <t>The Nature's Bounty Co., Schiff Nutrition International</t>
  </si>
  <si>
    <t>Scientist 2, QC Viral Vector</t>
  </si>
  <si>
    <t>BioMarin Pharmaceutical</t>
  </si>
  <si>
    <t>Novato | CA</t>
  </si>
  <si>
    <t>Genentech, Ultragenyx Pharmaceutical, Gilead Sciences</t>
  </si>
  <si>
    <t>Machine Learning Engineer</t>
  </si>
  <si>
    <t>Stratagem Group</t>
  </si>
  <si>
    <t>Aurora | CO</t>
  </si>
  <si>
    <t>machine learning engineer</t>
  </si>
  <si>
    <t>Data Scientist/ML Engineer</t>
  </si>
  <si>
    <t>PA Consulting</t>
  </si>
  <si>
    <t>London | United Kingdom</t>
  </si>
  <si>
    <t>McKinsey &amp; Company, Accenture, Deloitte</t>
  </si>
  <si>
    <t>Gridiron IT</t>
  </si>
  <si>
    <t>Tampa | FL</t>
  </si>
  <si>
    <t>Sr. Data Scientist</t>
  </si>
  <si>
    <t>Evolve Vacation Rental</t>
  </si>
  <si>
    <t>Travel Agencies</t>
  </si>
  <si>
    <t>Travel &amp; Tourism</t>
  </si>
  <si>
    <t>Data Engineer 4 - Contract</t>
  </si>
  <si>
    <t>The Church of Jesus Christ of Latter-day Saints</t>
  </si>
  <si>
    <t>Riverton | UT</t>
  </si>
  <si>
    <t>Salt Lake City | UT</t>
  </si>
  <si>
    <t>Religious Organizations</t>
  </si>
  <si>
    <t>Non-Profit</t>
  </si>
  <si>
    <t>UT</t>
  </si>
  <si>
    <t>Data Analyst - Asset Management</t>
  </si>
  <si>
    <t>Maximus Real Estate Partners</t>
  </si>
  <si>
    <t>Greystar, The Related Companies, Prometheus Real Estate Group</t>
  </si>
  <si>
    <t>Senior Research Scientist - Embedded System Development for DevOps</t>
  </si>
  <si>
    <t>Software Engineering Institute</t>
  </si>
  <si>
    <t>College / University</t>
  </si>
  <si>
    <t>Colleges &amp; Universities</t>
  </si>
  <si>
    <t>Data Scientist - Bioinformatics</t>
  </si>
  <si>
    <t>AVANADE</t>
  </si>
  <si>
    <t>Slalom, Cognizant Technology Solutions, Deloitte</t>
  </si>
  <si>
    <t>Customer Data Scientist/Sales Engineer</t>
  </si>
  <si>
    <t>PatientPoint</t>
  </si>
  <si>
    <t>Outcome Health, Health Media Network, Mesmerize Marketing</t>
  </si>
  <si>
    <t>MongoDB Data Engineer II</t>
  </si>
  <si>
    <t>BlueCross BlueShield of Tennessee</t>
  </si>
  <si>
    <t>Chattanooga | TN</t>
  </si>
  <si>
    <t>TN</t>
  </si>
  <si>
    <t>Senior Data Scientist Statistics</t>
  </si>
  <si>
    <t>Senior Spark Engineer (Data Science)</t>
  </si>
  <si>
    <t>KSM Consulting</t>
  </si>
  <si>
    <t>Cogo Labs</t>
  </si>
  <si>
    <t>BI &amp; Platform Analytics Manager</t>
  </si>
  <si>
    <t>Church &amp; Dwight</t>
  </si>
  <si>
    <t>Ewing | NJ</t>
  </si>
  <si>
    <t>MassMutual</t>
  </si>
  <si>
    <t>Springfield | MA</t>
  </si>
  <si>
    <t>Sr. Data Scientist - Analytics, Personalized Healthcare (PHC)</t>
  </si>
  <si>
    <t>Genentech</t>
  </si>
  <si>
    <t>South | CA</t>
  </si>
  <si>
    <t>South San Francisco | CA</t>
  </si>
  <si>
    <t>Cupertino | CA</t>
  </si>
  <si>
    <t>Pricipal Scientist Molecular and cellular biologist</t>
  </si>
  <si>
    <t>Data Scientist (Actuary, FSA or ASA)</t>
  </si>
  <si>
    <t>Legal &amp; General America</t>
  </si>
  <si>
    <t>Frederick | MD</t>
  </si>
  <si>
    <t>Staff Data Scientist</t>
  </si>
  <si>
    <t>Western Digital</t>
  </si>
  <si>
    <t>Seagate Technology, Toshiba</t>
  </si>
  <si>
    <t>Data Engineer 5 - Contract (Remote)</t>
  </si>
  <si>
    <t>Senior Scientist - Neuroscience</t>
  </si>
  <si>
    <t>Sunovion</t>
  </si>
  <si>
    <t>Shire, GlaxoSmithKline, Allergan</t>
  </si>
  <si>
    <t>National Student Clearinghouse</t>
  </si>
  <si>
    <t>Ellucian, Parchment, College Board</t>
  </si>
  <si>
    <t>Medical Lab Scientist</t>
  </si>
  <si>
    <t>Tower Health</t>
  </si>
  <si>
    <t>West | PA</t>
  </si>
  <si>
    <t>Reading | PA</t>
  </si>
  <si>
    <t>Risk and Analytics IT, Data Scientist</t>
  </si>
  <si>
    <t>State of Wisconsin Investment Board</t>
  </si>
  <si>
    <t>Madison | WI</t>
  </si>
  <si>
    <t>Investment Banking &amp; Asset Management</t>
  </si>
  <si>
    <t>Scientist, Analytical Development</t>
  </si>
  <si>
    <t>Rubius Therapeutics</t>
  </si>
  <si>
    <t>Analytics Manager</t>
  </si>
  <si>
    <t>OneMagnify</t>
  </si>
  <si>
    <t>Dearborn | MI</t>
  </si>
  <si>
    <t>IZEA</t>
  </si>
  <si>
    <t>Winter | FL</t>
  </si>
  <si>
    <t>Winter Park | FL</t>
  </si>
  <si>
    <t>Linqia, Collective Bias</t>
  </si>
  <si>
    <t>Digital Marketing &amp; ECommerce Data Analyst</t>
  </si>
  <si>
    <t>Vionic Group</t>
  </si>
  <si>
    <t>Sr. Scientist - Digital &amp; Image Analysis/Computational Pathology</t>
  </si>
  <si>
    <t>Dodge Data &amp; Analytics</t>
  </si>
  <si>
    <t>Hamilton | NJ</t>
  </si>
  <si>
    <t>Principal Scientist - Immunologist</t>
  </si>
  <si>
    <t>Plymouth Rock Assurance</t>
  </si>
  <si>
    <t>Woodbridge | NJ</t>
  </si>
  <si>
    <t>Arbella Insurance, Safety Insurance</t>
  </si>
  <si>
    <t>Principal Data Scientist with over 10 years experience</t>
  </si>
  <si>
    <t>CA-One Tech Clou</t>
  </si>
  <si>
    <t>MED TECH/LAB SCIENTIST - LABORATORY</t>
  </si>
  <si>
    <t>Beebe Healthcare</t>
  </si>
  <si>
    <t>Lewes | DE</t>
  </si>
  <si>
    <t>DE</t>
  </si>
  <si>
    <t>Sr. Scientist, Quantitative Translational Sciences</t>
  </si>
  <si>
    <t>Sr. Data Scientist II</t>
  </si>
  <si>
    <t>Argo Group US</t>
  </si>
  <si>
    <t>Hamilton | Bermuda</t>
  </si>
  <si>
    <t>Excel / VBA / sql_ Data Analyst</t>
  </si>
  <si>
    <t>Associated Electric Cooperative</t>
  </si>
  <si>
    <t>Springfield | MO</t>
  </si>
  <si>
    <t>Machine Learning Research Scientist</t>
  </si>
  <si>
    <t>VP, Data Science</t>
  </si>
  <si>
    <t>PennyMac</t>
  </si>
  <si>
    <t>Westlake Village | CA</t>
  </si>
  <si>
    <t>Lending</t>
  </si>
  <si>
    <t>Nationstar Mortgage, Caliber Funding, Quicken Loans</t>
  </si>
  <si>
    <t>Zest AI</t>
  </si>
  <si>
    <t>Burbank | CA</t>
  </si>
  <si>
    <t>Radar Data Analyst</t>
  </si>
  <si>
    <t>DECISIVE ANALYTICS Corporation</t>
  </si>
  <si>
    <t>Torch Technologies, American Systems</t>
  </si>
  <si>
    <t>PL Actuarial-Lead Data Scientist</t>
  </si>
  <si>
    <t>PV Scientist</t>
  </si>
  <si>
    <t>Karyopharm Therapeutics Inc.</t>
  </si>
  <si>
    <t>Newton | MA</t>
  </si>
  <si>
    <t>Senior Data &amp; Machine Learning Scientist</t>
  </si>
  <si>
    <t>Tempus Labs</t>
  </si>
  <si>
    <t>Principal Data Scientist (Computational Chemistry)</t>
  </si>
  <si>
    <t>Recursion Pharmaceuticals</t>
  </si>
  <si>
    <t>Salt | UT</t>
  </si>
  <si>
    <t>P2 Energy Solutions</t>
  </si>
  <si>
    <t>Lafayette | LA</t>
  </si>
  <si>
    <t>Principal Scientist, Chemistry &amp; Immunology</t>
  </si>
  <si>
    <t>Software Engineer - Data Visualization</t>
  </si>
  <si>
    <t>ClearEdge</t>
  </si>
  <si>
    <t>Annapolis | MD</t>
  </si>
  <si>
    <t>Annapolis Junction | MD</t>
  </si>
  <si>
    <t>Scientist/Senior Scientist, Autoimmune</t>
  </si>
  <si>
    <t>Staff Machine Learning Engineer</t>
  </si>
  <si>
    <t>Tapjoy</t>
  </si>
  <si>
    <t>FLURRY, Chartboost</t>
  </si>
  <si>
    <t>Principal Scientist, Hematology</t>
  </si>
  <si>
    <t>Lead Data Engineer</t>
  </si>
  <si>
    <t>Credit Sesame</t>
  </si>
  <si>
    <t>Credit Karma, LendUp, SoFi</t>
  </si>
  <si>
    <t>Marketing Data Analyst</t>
  </si>
  <si>
    <t>San Manuel Casino</t>
  </si>
  <si>
    <t>Highland | CA</t>
  </si>
  <si>
    <t>Gambling</t>
  </si>
  <si>
    <t>Arts, Entertainment &amp; Recreation</t>
  </si>
  <si>
    <t>Medical Laboratory Scientist</t>
  </si>
  <si>
    <t>Texas Health Huguley Hospital</t>
  </si>
  <si>
    <t>Burleson | TX</t>
  </si>
  <si>
    <t>Arlington | TX</t>
  </si>
  <si>
    <t>R&amp;D Specialist/ Food Scientist</t>
  </si>
  <si>
    <t>Teasdale Latin Foods</t>
  </si>
  <si>
    <t>Hoopeston | IL</t>
  </si>
  <si>
    <t>Flower Mound | TX</t>
  </si>
  <si>
    <t>Food &amp; Beverage Manufacturing</t>
  </si>
  <si>
    <t>Senior Research Scientist-Machine Learning</t>
  </si>
  <si>
    <t>Analytics Manager - Data Mart</t>
  </si>
  <si>
    <t>Central California Alliance for Health</t>
  </si>
  <si>
    <t>Scotts | CA</t>
  </si>
  <si>
    <t>Scotts Valley | CA</t>
  </si>
  <si>
    <t>Sr. Data Engineer - Contract-to-Hire (Java)</t>
  </si>
  <si>
    <t>Pilot Flying J Travel Centers LLC</t>
  </si>
  <si>
    <t>Knoxville | TN</t>
  </si>
  <si>
    <t>Gas Stations</t>
  </si>
  <si>
    <t>TravelCenters of America, Love's Travel Stops &amp; Country Stores, Wawa</t>
  </si>
  <si>
    <t>MED TECH/LAB SCIENTIST- SOUTH COASTAL LAB</t>
  </si>
  <si>
    <t>Millville | DE</t>
  </si>
  <si>
    <t>Food Scientist - Developer</t>
  </si>
  <si>
    <t>Palermo's Pizza</t>
  </si>
  <si>
    <t>Staff Scientist-Downstream Process Development</t>
  </si>
  <si>
    <t>Advanced BioScience Laboratories</t>
  </si>
  <si>
    <t>Sr. Data Engineer</t>
  </si>
  <si>
    <t>Echo Global Logistics</t>
  </si>
  <si>
    <t>Transportation Management</t>
  </si>
  <si>
    <t>C.H. Robinson, Total Quality Logistics, Coyote Logistics</t>
  </si>
  <si>
    <t>Lockheed Martin</t>
  </si>
  <si>
    <t>Bethesda | MD</t>
  </si>
  <si>
    <t>Boeing, Northrop Grumman, Raytheon</t>
  </si>
  <si>
    <t>Senior Research Statistician- Data Scientist</t>
  </si>
  <si>
    <t>Acuity Insurance</t>
  </si>
  <si>
    <t>Sheboygan | WI</t>
  </si>
  <si>
    <t>Business Data Analyst, sql_</t>
  </si>
  <si>
    <t>Fareportal</t>
  </si>
  <si>
    <t>Expedia Group, Orbitz Worldwide, Priceline.com</t>
  </si>
  <si>
    <t>Medical Technologist / Clinical Laboratory Scientist</t>
  </si>
  <si>
    <t>Veterans Affairs, Veterans Health Administration</t>
  </si>
  <si>
    <t>Credera</t>
  </si>
  <si>
    <t>Spectrum Communications and Consulting</t>
  </si>
  <si>
    <t>NCSOFT</t>
  </si>
  <si>
    <t>Seoul | South Korea</t>
  </si>
  <si>
    <t>Video Games</t>
  </si>
  <si>
    <t>Blizzard Entertainment, Riot Games, Electronic Arts</t>
  </si>
  <si>
    <t>Associate Data Scientist/Computer Scientist</t>
  </si>
  <si>
    <t>Business Intelligence Analyst / Developer</t>
  </si>
  <si>
    <t>Dayton Freight Lines, Inc.</t>
  </si>
  <si>
    <t>Dayton | OH</t>
  </si>
  <si>
    <t>Trucking</t>
  </si>
  <si>
    <t>Old Dominion Freight, Pitt Ohio Express</t>
  </si>
  <si>
    <t>Community Action Partnership of San Luis Obispo</t>
  </si>
  <si>
    <t>Parlier | CA</t>
  </si>
  <si>
    <t>San Luis Obispo | CA</t>
  </si>
  <si>
    <t>Social Assistance</t>
  </si>
  <si>
    <t>TrueAccord</t>
  </si>
  <si>
    <t>DRB Systems</t>
  </si>
  <si>
    <t>Meridian | ID</t>
  </si>
  <si>
    <t>Akron | OH</t>
  </si>
  <si>
    <t>System and Data Analyst</t>
  </si>
  <si>
    <t>Corcentric</t>
  </si>
  <si>
    <t>Cherry | NJ</t>
  </si>
  <si>
    <t>Cherry Hill | NJ</t>
  </si>
  <si>
    <t>U.Group</t>
  </si>
  <si>
    <t>Data &amp; Analytics Consultant (NYC)</t>
  </si>
  <si>
    <t>Systems Evolution Inc.</t>
  </si>
  <si>
    <t>Eventbrite</t>
  </si>
  <si>
    <t>Nashville | TN</t>
  </si>
  <si>
    <t>See Tickets, TicketWeb, Vendini</t>
  </si>
  <si>
    <t>Big Data Engineer - Chicago - Future Opportunity</t>
  </si>
  <si>
    <t>Centro</t>
  </si>
  <si>
    <t>Mediaocean, The Trade Desk, MediaMath</t>
  </si>
  <si>
    <t>comScore</t>
  </si>
  <si>
    <t>Portland | OR</t>
  </si>
  <si>
    <t>Nielsen, Hitwise, Coremetrics</t>
  </si>
  <si>
    <t>Survey Data Analyst</t>
  </si>
  <si>
    <t>SullivanCotter</t>
  </si>
  <si>
    <t>Mercer, Korn Ferry, Integrated Healthcare Strategies</t>
  </si>
  <si>
    <t>NPD</t>
  </si>
  <si>
    <t>Port | NY</t>
  </si>
  <si>
    <t>Port Washington | NY</t>
  </si>
  <si>
    <t>Bakery Agency</t>
  </si>
  <si>
    <t>Austin | TX</t>
  </si>
  <si>
    <t>Lead Health Data Analyst - Front End</t>
  </si>
  <si>
    <t>Blue Cross &amp; Blue Shield of Rhode Island</t>
  </si>
  <si>
    <t>Providence | RI</t>
  </si>
  <si>
    <t>UnitedHealth Group</t>
  </si>
  <si>
    <t>RI</t>
  </si>
  <si>
    <t>Boys Town</t>
  </si>
  <si>
    <t>Boys &amp; Girls Clubs of America, AdoptUSKids, Foster Care to Success</t>
  </si>
  <si>
    <t>Junior Data Analyst</t>
  </si>
  <si>
    <t>The HSC Health Care System</t>
  </si>
  <si>
    <t>sql_ Data Engineer</t>
  </si>
  <si>
    <t>Pro-Sphere Tek</t>
  </si>
  <si>
    <t>Ameritas Life Insurance Corp</t>
  </si>
  <si>
    <t>Lincoln | NE</t>
  </si>
  <si>
    <t>Genworth</t>
  </si>
  <si>
    <t>Raleigh | NC</t>
  </si>
  <si>
    <t>MetLife, Northwestern Mutual, Prudential</t>
  </si>
  <si>
    <t>Sr. Data Scientist, Cyber-Security LT Contract</t>
  </si>
  <si>
    <t>Phila | PA</t>
  </si>
  <si>
    <t>Trace Data</t>
  </si>
  <si>
    <t>Oakland | CA</t>
  </si>
  <si>
    <t>Santa Ana | CA</t>
  </si>
  <si>
    <t>Insurance Financial Data Analyst</t>
  </si>
  <si>
    <t>Clearwater Analytics</t>
  </si>
  <si>
    <t>Boise | ID</t>
  </si>
  <si>
    <t>Tekvalley, Corp.</t>
  </si>
  <si>
    <t>BWX Technologies</t>
  </si>
  <si>
    <t>Oak | TN</t>
  </si>
  <si>
    <t>Lynchburg | VA</t>
  </si>
  <si>
    <t>Agoura | CA</t>
  </si>
  <si>
    <t>Data Engineer I - Azure</t>
  </si>
  <si>
    <t>Vermeer</t>
  </si>
  <si>
    <t>Pella | IA</t>
  </si>
  <si>
    <t>Caterpillar, John Deere, CNH Industrial</t>
  </si>
  <si>
    <t>IA</t>
  </si>
  <si>
    <t>L&amp;T Infotech</t>
  </si>
  <si>
    <t>Mumbai | India</t>
  </si>
  <si>
    <t>Infosys, Accenture, Capgemini</t>
  </si>
  <si>
    <t>Information Security Data Analyst</t>
  </si>
  <si>
    <t>OceanFirst Financial</t>
  </si>
  <si>
    <t>Red | NJ</t>
  </si>
  <si>
    <t>Toms River | NJ</t>
  </si>
  <si>
    <t>Sotheby's</t>
  </si>
  <si>
    <t>Auctions &amp; Galleries</t>
  </si>
  <si>
    <t>Vanda Pharmaceuticals</t>
  </si>
  <si>
    <t>Data Scientist, Senior</t>
  </si>
  <si>
    <t>CK-12 Foundation</t>
  </si>
  <si>
    <t>K-12 Education</t>
  </si>
  <si>
    <t>CONSULTANT– DATA ANALYTICS GROUP</t>
  </si>
  <si>
    <t>Opinion Dynamics</t>
  </si>
  <si>
    <t>Waltham | MA</t>
  </si>
  <si>
    <t>Applied Information Sciences</t>
  </si>
  <si>
    <t>Data Engineer, Data Engineering and Artifical Intelligence</t>
  </si>
  <si>
    <t>Staff Scientist</t>
  </si>
  <si>
    <t>WK Dickson</t>
  </si>
  <si>
    <t>Columbia | SC</t>
  </si>
  <si>
    <t>McKim and Creed, CDM Smith, Kimley-Horn</t>
  </si>
  <si>
    <t>SC</t>
  </si>
  <si>
    <t>Associate Scientist/Scientist, Process Analytical Technology - Small Molecule Analytical Chemistry</t>
  </si>
  <si>
    <t>Sr. Data Analyst</t>
  </si>
  <si>
    <t>Program/Data Analyst</t>
  </si>
  <si>
    <t>Senior Data Scientist: Causal &amp; Predictive analytics AI Innovation Lab</t>
  </si>
  <si>
    <t>Principal Data Engineer, Data Platform &amp; Insights</t>
  </si>
  <si>
    <t>RESEARCH SCIENTIST - BIOLOGICAL SAFETY</t>
  </si>
  <si>
    <t>Southwest Research Institute</t>
  </si>
  <si>
    <t>San | TX</t>
  </si>
  <si>
    <t>San Antonio | TX</t>
  </si>
  <si>
    <t>Los Alamos National Laboratory, Battelle, SRI International</t>
  </si>
  <si>
    <t>Data Operations Lead</t>
  </si>
  <si>
    <t>Mus</t>
  </si>
  <si>
    <t>Big Data Engineer</t>
  </si>
  <si>
    <t>The Integer Group</t>
  </si>
  <si>
    <t>Geometry Global, TracyLocke, Saatchi &amp; Saatchi X</t>
  </si>
  <si>
    <t>Clinical Data Analyst</t>
  </si>
  <si>
    <t>Portsmouth | VA</t>
  </si>
  <si>
    <t>Computational Chemist/Data Scientist</t>
  </si>
  <si>
    <t>Product Engineer – Data Science</t>
  </si>
  <si>
    <t>Samba TV</t>
  </si>
  <si>
    <t>Market Data Analyst</t>
  </si>
  <si>
    <t>SV Microwave</t>
  </si>
  <si>
    <t>West | FL</t>
  </si>
  <si>
    <t>West Palm Beach | FL</t>
  </si>
  <si>
    <t>Telecommunications Manufacturing</t>
  </si>
  <si>
    <t>Staff Data Engineer</t>
  </si>
  <si>
    <t>Sumo Logic</t>
  </si>
  <si>
    <t>Redwood City | CA</t>
  </si>
  <si>
    <t>Splunk, Datadog, Elastic</t>
  </si>
  <si>
    <t>Associate Data Engineer</t>
  </si>
  <si>
    <t>EAB</t>
  </si>
  <si>
    <t>Brighthouse Financial</t>
  </si>
  <si>
    <t>Staff BI and Data Engineer</t>
  </si>
  <si>
    <t>Citadel Federal Credit Union</t>
  </si>
  <si>
    <t>Exton | PA</t>
  </si>
  <si>
    <t>TruMark Financial, North Island Credit Union, CommunityAmerica Credit Union</t>
  </si>
  <si>
    <t>CALIBRE Systems</t>
  </si>
  <si>
    <t>CSC, Booz Allen Hamilton, ManTech</t>
  </si>
  <si>
    <t>Director - Data, Privacy and AI Governance</t>
  </si>
  <si>
    <t>director</t>
  </si>
  <si>
    <t>Motorola Solutions</t>
  </si>
  <si>
    <t>Cisco Systems, Huawei Technologies, IBM</t>
  </si>
  <si>
    <t>Scientist Manufacturing - Kentucky BioProcessing</t>
  </si>
  <si>
    <t>Reynolds American</t>
  </si>
  <si>
    <t>Owensboro | KY</t>
  </si>
  <si>
    <t>Winston-Salem | NC</t>
  </si>
  <si>
    <t>Data Analytics Project Manager</t>
  </si>
  <si>
    <t>Consultant - Analytics Consulting</t>
  </si>
  <si>
    <t>Infosys</t>
  </si>
  <si>
    <t>Hartford | CT</t>
  </si>
  <si>
    <t>Bengaluru | India</t>
  </si>
  <si>
    <t>Tata Consultancy Services, Accenture, Cognizant Technology Solutions</t>
  </si>
  <si>
    <t>Alignment Healthcare</t>
  </si>
  <si>
    <t>Orange | CA</t>
  </si>
  <si>
    <t>Senior Scientist (Neuroscience)</t>
  </si>
  <si>
    <t>Machine Learning Engineer - Regulatory</t>
  </si>
  <si>
    <t>Cboe Global Markets</t>
  </si>
  <si>
    <t>Lenexa | KS</t>
  </si>
  <si>
    <t>Stock Exchanges</t>
  </si>
  <si>
    <t>KS</t>
  </si>
  <si>
    <t>Guidepoint</t>
  </si>
  <si>
    <t>Coleman Research, AlphaSights, Third Bridge</t>
  </si>
  <si>
    <t>Scientist, Bacteriology</t>
  </si>
  <si>
    <t>Cerus Corporation</t>
  </si>
  <si>
    <t>Concord | CA</t>
  </si>
  <si>
    <t>Associate Director, Platform and DevOps- Data Engineering and Aritifical Intelligence</t>
  </si>
  <si>
    <t>Clinical Laboratory Scientist</t>
  </si>
  <si>
    <t>Vail Health</t>
  </si>
  <si>
    <t>Vail | CO</t>
  </si>
  <si>
    <t>Senior Data Scientist - R&amp;D Oncology</t>
  </si>
  <si>
    <t>AstraZeneca</t>
  </si>
  <si>
    <t>Cambridge | United Kingdom</t>
  </si>
  <si>
    <t>Roche, GlaxoSmithKline, Novartis</t>
  </si>
  <si>
    <t>MathWorks</t>
  </si>
  <si>
    <t>Natick | MA</t>
  </si>
  <si>
    <t>MetroStar Systems</t>
  </si>
  <si>
    <t>Director II, Data Science - GRM Actuarial</t>
  </si>
  <si>
    <t>Scientist, Molecular/Cellular Biologist</t>
  </si>
  <si>
    <t>Audentes Therapeutics</t>
  </si>
  <si>
    <t>BioMarin Pharmaceutical, Sangamo Therapeutics, bluebird bio</t>
  </si>
  <si>
    <t>Scientist - Analytical Services</t>
  </si>
  <si>
    <t>Winston | NC</t>
  </si>
  <si>
    <t>Associate Data Analyst- Graduate Development Program</t>
  </si>
  <si>
    <t>National Interstate</t>
  </si>
  <si>
    <t>Richfield | OH</t>
  </si>
  <si>
    <t>Moser Consulting</t>
  </si>
  <si>
    <t>Senior Insurance Data Scientist</t>
  </si>
  <si>
    <t>Senior Data Science Systems Engineer</t>
  </si>
  <si>
    <t>Hampton | VA</t>
  </si>
  <si>
    <t>ENVIRONMENTAL ENGINEER/SCIENTIST</t>
  </si>
  <si>
    <t>Mcphail Associates</t>
  </si>
  <si>
    <t>Construction</t>
  </si>
  <si>
    <t>Construction, Repair &amp; Maintenance</t>
  </si>
  <si>
    <t>Senior Scientist - Regulatory Submissions</t>
  </si>
  <si>
    <t>Scientist - Biomarker and Flow Cytometry</t>
  </si>
  <si>
    <t>Crown Bioscience</t>
  </si>
  <si>
    <t>Revenue Analytics Manager</t>
  </si>
  <si>
    <t>HOVER</t>
  </si>
  <si>
    <t>Associate Scientist, LC/MS Biologics</t>
  </si>
  <si>
    <t>Q2 Solutions</t>
  </si>
  <si>
    <t>Ithaca | NY</t>
  </si>
  <si>
    <t>Morrisville | NC</t>
  </si>
  <si>
    <t>Sr. Scientist Method Development</t>
  </si>
  <si>
    <t>Marietta | GA</t>
  </si>
  <si>
    <t>IT - Data Engineer II</t>
  </si>
  <si>
    <t>Arbella Insurance</t>
  </si>
  <si>
    <t>Quincy | MA</t>
  </si>
  <si>
    <t>Research Scientist, Immunology - Cancer Biology</t>
  </si>
  <si>
    <t>Kronos Bi</t>
  </si>
  <si>
    <t>San Mateo | CA</t>
  </si>
  <si>
    <t>Project Scientist - Auton Lab, Robotics Institute</t>
  </si>
  <si>
    <t>Enterprise Architect, Data</t>
  </si>
  <si>
    <t>Senior Manager, Epidemiologic Data Scientist</t>
  </si>
  <si>
    <t>Corporate Risk Data Analyst (sql_ Based) - Milwaukee or</t>
  </si>
  <si>
    <t>Associated Banc-Corp</t>
  </si>
  <si>
    <t>Green | WI</t>
  </si>
  <si>
    <t>Green Bay | WI</t>
  </si>
  <si>
    <t>Wells Fargo, BMO Harris Bank, U.S. Bank</t>
  </si>
  <si>
    <t>Marketing Data Analyst, May 2020 Undergrad</t>
  </si>
  <si>
    <t>Genesys</t>
  </si>
  <si>
    <t>Durham | NC</t>
  </si>
  <si>
    <t>Daly City | CA</t>
  </si>
  <si>
    <t>Avaya, Five9, Salesforce</t>
  </si>
  <si>
    <t>Moda Operandi</t>
  </si>
  <si>
    <t>YOOX NET-A-PORTER GROUP, Farfetch, MATCHESFASHION</t>
  </si>
  <si>
    <t>Data Modeler - Data Solutions Engineer</t>
  </si>
  <si>
    <t>Associate Environmental Scientist - Wildlife Biologist</t>
  </si>
  <si>
    <t>QK</t>
  </si>
  <si>
    <t>Clovis | CA</t>
  </si>
  <si>
    <t>Visalia | CA</t>
  </si>
  <si>
    <t>Associate, Data Science, Internal Audit</t>
  </si>
  <si>
    <t>Santander</t>
  </si>
  <si>
    <t>Madrid | Spain</t>
  </si>
  <si>
    <t>Sr Data Engineer (Sr BI Developer)</t>
  </si>
  <si>
    <t>Tivity Health</t>
  </si>
  <si>
    <t>Chandler | AZ</t>
  </si>
  <si>
    <t>Franklin | TN</t>
  </si>
  <si>
    <t>BRMi</t>
  </si>
  <si>
    <t>Senior LiDAR Data Scientist</t>
  </si>
  <si>
    <t>Luminar Technologies</t>
  </si>
  <si>
    <t>Orlando | FL</t>
  </si>
  <si>
    <t>Salesforce Analytics Consultant</t>
  </si>
  <si>
    <t>Emtec, Inc.</t>
  </si>
  <si>
    <t>Jacksonville | FL</t>
  </si>
  <si>
    <t>Technology-Minded, Data Professional Opportunities</t>
  </si>
  <si>
    <t>Veterans United Home Loans</t>
  </si>
  <si>
    <t>Columbia | MO</t>
  </si>
  <si>
    <t>Praetorian</t>
  </si>
  <si>
    <t>Managing Data Scientist/ML Engineer</t>
  </si>
  <si>
    <t>Scientist, Pharmacometrics</t>
  </si>
  <si>
    <t>Agios Pharmaceuticals</t>
  </si>
  <si>
    <t>Staff Scientist- Upstream PD</t>
  </si>
  <si>
    <t>Scientist Manufacturing Pharma - Kentucky BioProcessing</t>
  </si>
  <si>
    <t>Lead Big Data Engineer</t>
  </si>
  <si>
    <t>Glassdoor</t>
  </si>
  <si>
    <t>Mill Valley | CA</t>
  </si>
  <si>
    <t>Indeed, LinkedIn</t>
  </si>
  <si>
    <t>Product Engineer – Spatial Data Science and Statistical Analysis</t>
  </si>
  <si>
    <t>Sr Software Engineer (Data Scientist)</t>
  </si>
  <si>
    <t>Assurant</t>
  </si>
  <si>
    <t>Westlake | OH</t>
  </si>
  <si>
    <t>Asurion, SquareTrade, National General Insurance</t>
  </si>
  <si>
    <t>Sr. Data Engineer (ETL Developer)</t>
  </si>
  <si>
    <t>F&amp;G</t>
  </si>
  <si>
    <t>Des | IA</t>
  </si>
  <si>
    <t>Des Moines | IA</t>
  </si>
  <si>
    <t>Senior Data Scientist Artificial Intelligence</t>
  </si>
  <si>
    <t>Analytics - Business Assurance Data Analyst</t>
  </si>
  <si>
    <t>GreatAmerica Financial Services</t>
  </si>
  <si>
    <t>Cedar | IA</t>
  </si>
  <si>
    <t>Cedar Rapids | IA</t>
  </si>
  <si>
    <t>Associate Director/Director, Safety Scientist</t>
  </si>
  <si>
    <t>Acceleron Pharma</t>
  </si>
  <si>
    <t>Senior Scientist, Cell Pharmacology/Assay Development</t>
  </si>
  <si>
    <t>Data Analyst Senior</t>
  </si>
  <si>
    <t>AmeriHealth Caritas</t>
  </si>
  <si>
    <t>UnitedHealth Group, Molina Healthcare, Centene</t>
  </si>
  <si>
    <t>Lead Data Engineer (Python)</t>
  </si>
  <si>
    <t>Strategic Employment Partners</t>
  </si>
  <si>
    <t>Senior Data Scientist 4 Artificial Intelligence</t>
  </si>
  <si>
    <t>Medical Lab Scientist - MLT</t>
  </si>
  <si>
    <t>Catholic Health Initiatives</t>
  </si>
  <si>
    <t>Englewood | CO</t>
  </si>
  <si>
    <t>Dignity Health, Trinity Health</t>
  </si>
  <si>
    <t>Senior Operations Data Analyst, Call Center Operations</t>
  </si>
  <si>
    <t>FLEETCOR</t>
  </si>
  <si>
    <t>Peachtree Corners | GA</t>
  </si>
  <si>
    <t>Director II, Data Science - GRS Predictive Analytics</t>
  </si>
  <si>
    <t>RESEARCH COMPUTER SCIENTIST - RESEARCH ENGINEER - SR. COMPUTER SCIENTIST - SOFTWARE DEVELOPMENT</t>
  </si>
  <si>
    <t>Geospatial Software Developer and Data Scientist</t>
  </si>
  <si>
    <t>Applied Research Laboratories</t>
  </si>
  <si>
    <t>Senior Scientist - Toxicologist - Product Integrity (Stewardship)</t>
  </si>
  <si>
    <t>Systems Engineer II - Data Analyst</t>
  </si>
  <si>
    <t>Raytheon</t>
  </si>
  <si>
    <t>Senior Research Analytical Scientist-Non-Targeted Analysis</t>
  </si>
  <si>
    <t>RTI International</t>
  </si>
  <si>
    <t>Research Triangle Park | NC</t>
  </si>
  <si>
    <t>Westat, Abt Associates, Chemonics International</t>
  </si>
  <si>
    <t>Director Data Science</t>
  </si>
  <si>
    <t>TRANZACT</t>
  </si>
  <si>
    <t>Fort | NJ</t>
  </si>
  <si>
    <t>Fort Lee | NJ</t>
  </si>
  <si>
    <t>Sr Data Analyst - IT</t>
  </si>
  <si>
    <t>United BioSource</t>
  </si>
  <si>
    <t>Blue | PA</t>
  </si>
  <si>
    <t>Blue Bell | PA</t>
  </si>
  <si>
    <t>Covance, ICON</t>
  </si>
  <si>
    <t>Figure Eight</t>
  </si>
  <si>
    <t>Associate Machine Learning Engineer / Data Scientist May 2020 Undergrad</t>
  </si>
  <si>
    <t>Senior Scientist - Biostatistician</t>
  </si>
  <si>
    <t>Royce Geospatial</t>
  </si>
  <si>
    <t>Springfield | VA</t>
  </si>
  <si>
    <t>Citi</t>
  </si>
  <si>
    <t>Jersey | NJ</t>
  </si>
  <si>
    <t>Principal Machine Learning Scientist</t>
  </si>
  <si>
    <t>Sage Intacct</t>
  </si>
  <si>
    <t>Scale AI</t>
  </si>
  <si>
    <t>Change Healthcare</t>
  </si>
  <si>
    <t>Emeryville | CA</t>
  </si>
  <si>
    <t>MZ</t>
  </si>
  <si>
    <t>HG Insights</t>
  </si>
  <si>
    <t>Santa Barbara | CA</t>
  </si>
  <si>
    <t>1-800-FLOWERS.COM, Inc.</t>
  </si>
  <si>
    <t>Carle | NY</t>
  </si>
  <si>
    <t>Carle Place | NY</t>
  </si>
  <si>
    <t>CBS Interactive</t>
  </si>
  <si>
    <t>NBCUniversal, Comcast, Netflix</t>
  </si>
  <si>
    <t>King | PA</t>
  </si>
  <si>
    <t>Samsung Research America</t>
  </si>
  <si>
    <t>Sony, LG Electronics, Nokia</t>
  </si>
  <si>
    <t>Lorven Technologies Inc</t>
  </si>
  <si>
    <t>Plainsboro | NJ</t>
  </si>
  <si>
    <t>Accounting</t>
  </si>
  <si>
    <t>Accounting &amp; Legal</t>
  </si>
  <si>
    <t>CareDx</t>
  </si>
  <si>
    <t>Brisbane | CA</t>
  </si>
  <si>
    <t>Sequenom</t>
  </si>
  <si>
    <t>Serigor Inc.</t>
  </si>
  <si>
    <t>Leidos</t>
  </si>
  <si>
    <t>Data Analyst, Performance Partnership</t>
  </si>
  <si>
    <t>Beckman Coulter Diagnostics</t>
  </si>
  <si>
    <t>Brea | CA</t>
  </si>
  <si>
    <t>Health Care Products Manufacturing</t>
  </si>
  <si>
    <t>Abbott Laboratories, Roche, Thermo Fisher Scientific</t>
  </si>
  <si>
    <t>IHS Markit</t>
  </si>
  <si>
    <t>Thomson Reuters, International Data Group</t>
  </si>
  <si>
    <t>ALI</t>
  </si>
  <si>
    <t>Noida | India</t>
  </si>
  <si>
    <t>e-IT Professionals Corp.</t>
  </si>
  <si>
    <t>Foster | CA</t>
  </si>
  <si>
    <t>Canton | MI</t>
  </si>
  <si>
    <t>Health, Beauty, &amp; Fitness</t>
  </si>
  <si>
    <t>Consumer Services</t>
  </si>
  <si>
    <t>TechProjects</t>
  </si>
  <si>
    <t>North Brunswick | NJ</t>
  </si>
  <si>
    <t>Biz2Credit Inc</t>
  </si>
  <si>
    <t>Fundera, Bond Street, OnDeck</t>
  </si>
  <si>
    <t>PeoplesBank</t>
  </si>
  <si>
    <t>Holyoke | MA</t>
  </si>
  <si>
    <t>Data Scientist Manager</t>
  </si>
  <si>
    <t>Capgemini</t>
  </si>
  <si>
    <t>Paris | France</t>
  </si>
  <si>
    <t>Accenture, CGI, Sopra Steria</t>
  </si>
  <si>
    <t>GNY Insurance Companies</t>
  </si>
  <si>
    <t>Travelers, Chubb, Crum &amp; Forster</t>
  </si>
  <si>
    <t>Conch Technologies, Inc</t>
  </si>
  <si>
    <t>Memphis | TN</t>
  </si>
  <si>
    <t>Medidata Solutions</t>
  </si>
  <si>
    <t>Oracle</t>
  </si>
  <si>
    <t>Software Data Engineer - College</t>
  </si>
  <si>
    <t>Corvallis | OR</t>
  </si>
  <si>
    <t>Senior Data Scientist - Algorithms</t>
  </si>
  <si>
    <t>Quartet Health</t>
  </si>
  <si>
    <t>Success Academy Charter Schools</t>
  </si>
  <si>
    <t>School / School District</t>
  </si>
  <si>
    <t>AXION Healthcare Solutions</t>
  </si>
  <si>
    <t>The Execu|Search Group, Prime Staffing</t>
  </si>
  <si>
    <t>ExecOnline</t>
  </si>
  <si>
    <t>Harvard Business School, Coursera, edX</t>
  </si>
  <si>
    <t>Mteq</t>
  </si>
  <si>
    <t>Lorton | VA</t>
  </si>
  <si>
    <t>Harris, Fibertek</t>
  </si>
  <si>
    <t>Senior Data Scientist Oncology</t>
  </si>
  <si>
    <t>Gaithersburg | MD</t>
  </si>
  <si>
    <t>Brillient</t>
  </si>
  <si>
    <t>Entefy</t>
  </si>
  <si>
    <t>Trace3</t>
  </si>
  <si>
    <t>Irvine | CA</t>
  </si>
  <si>
    <t>World Wide Technology, Presidio, Optiv</t>
  </si>
  <si>
    <t>Principal Data Scientist</t>
  </si>
  <si>
    <t>Saama Technologies Inc</t>
  </si>
  <si>
    <t>Campbell | CA</t>
  </si>
  <si>
    <t>Accenture, Deloitte, IBM</t>
  </si>
  <si>
    <t>Data Scientist - Alpha Insights</t>
  </si>
  <si>
    <t>Two Sigma</t>
  </si>
  <si>
    <t>Associate Principal Scientist, Pharmacogenomics</t>
  </si>
  <si>
    <t>Data Scientist - Systems Engineering</t>
  </si>
  <si>
    <t>Strategic Financial Solutions</t>
  </si>
  <si>
    <t>Consumer Product Rental</t>
  </si>
  <si>
    <t>National Debt Relief, Freedom Financial Network</t>
  </si>
  <si>
    <t>Remedy BPCI Partners, LLC.</t>
  </si>
  <si>
    <t>Norwalk | CT</t>
  </si>
  <si>
    <t>Healthfirst (New York), naviHealth</t>
  </si>
  <si>
    <t>The Climate Corporation</t>
  </si>
  <si>
    <t>Granular, Intuit, John Deere</t>
  </si>
  <si>
    <t>Crossix Solutions</t>
  </si>
  <si>
    <t>Data Engineer - Consultant (Charlotte Based)</t>
  </si>
  <si>
    <t>Data Analyst 1, full-time contract worker for up to 12 months</t>
  </si>
  <si>
    <t>Aliso | CA</t>
  </si>
  <si>
    <t>Scientist, Immuno-Oncology</t>
  </si>
  <si>
    <t>GSK</t>
  </si>
  <si>
    <t>Brentford | United Kingdom</t>
  </si>
  <si>
    <t>Pfizer, AstraZeneca, Merck</t>
  </si>
  <si>
    <t>Factual</t>
  </si>
  <si>
    <t>Foursquare</t>
  </si>
  <si>
    <t>Products Data Analyst II</t>
  </si>
  <si>
    <t>TriNet</t>
  </si>
  <si>
    <t>Dublin | CA</t>
  </si>
  <si>
    <t>Paychex, Insperity, ADP</t>
  </si>
  <si>
    <t>Lead Data Analyst</t>
  </si>
  <si>
    <t>Signpost</t>
  </si>
  <si>
    <t>Data Science Engineer - Mobile</t>
  </si>
  <si>
    <t>Adobe</t>
  </si>
  <si>
    <t>Apple, Microsoft</t>
  </si>
  <si>
    <t>Arvada | CO</t>
  </si>
  <si>
    <t>Equian LLC</t>
  </si>
  <si>
    <t>Information Builders</t>
  </si>
  <si>
    <t>Qlik, Tableau Software, Informatica</t>
  </si>
  <si>
    <t>Sr Expert Data Science, Advanced Visual Analytics (Associate level)</t>
  </si>
  <si>
    <t>IT Associate Data Analyst</t>
  </si>
  <si>
    <t>Greenway Health</t>
  </si>
  <si>
    <t>eClinicalWorks, NextGen Healthcare, athenahealth</t>
  </si>
  <si>
    <t>Business Data Analyst</t>
  </si>
  <si>
    <t>Data Scientist - Sales</t>
  </si>
  <si>
    <t>Confluent</t>
  </si>
  <si>
    <t>Life360</t>
  </si>
  <si>
    <t>Principal, Data Science - Advanced Analytics</t>
  </si>
  <si>
    <t>IQVIA</t>
  </si>
  <si>
    <t>Plymouth | PA</t>
  </si>
  <si>
    <t>PPD, INC Research, PRA Health Sciences</t>
  </si>
  <si>
    <t>Data Science Project Manager</t>
  </si>
  <si>
    <t>Sr Scientist, Immuno-Oncology - Oncology</t>
  </si>
  <si>
    <t>Research Scientist – Security and Privacy</t>
  </si>
  <si>
    <t>Riverside Research Institute</t>
  </si>
  <si>
    <t>Data Science Manager</t>
  </si>
  <si>
    <t>Allentown | PA</t>
  </si>
  <si>
    <t>Data Analyst 2 (Missionary Department)</t>
  </si>
  <si>
    <t>Supply Chain Data Analyst</t>
  </si>
  <si>
    <t>Icon Health and Fitness</t>
  </si>
  <si>
    <t>Logan | UT</t>
  </si>
  <si>
    <t>Life Fitness, Brooks Running, Under Armour</t>
  </si>
  <si>
    <t>Data Engineer - ETL</t>
  </si>
  <si>
    <t>Shipt</t>
  </si>
  <si>
    <t>Birmingham | AL</t>
  </si>
  <si>
    <t>Data Modeler (Analytical Systems)</t>
  </si>
  <si>
    <t>Data Scientist in Translational Medicine</t>
  </si>
  <si>
    <t>Product Manager/Data Evangelist</t>
  </si>
  <si>
    <t>Senior Data Scientist – Visualization, Novartis AI Innovation Lab</t>
  </si>
  <si>
    <t>Senior Data Analyst/Scientist</t>
  </si>
  <si>
    <t>Scientist – Cancer Discovery, Molecular Assay</t>
  </si>
  <si>
    <t>Monte Rosa Therapeutic</t>
  </si>
  <si>
    <t>IntraEdge</t>
  </si>
  <si>
    <t>Scottsdale | AZ</t>
  </si>
  <si>
    <t>Data Engineering Analyst</t>
  </si>
  <si>
    <t>COUNTRY Financial</t>
  </si>
  <si>
    <t>Bloomington | IL</t>
  </si>
  <si>
    <t>Northwestern Mutual, American Family Insurance, MetLife</t>
  </si>
  <si>
    <t>Manager of Data Science</t>
  </si>
  <si>
    <t>Software Engineer (Data Scientist/Software Engineer) - SISW - MG</t>
  </si>
  <si>
    <t>Mentor Graphics</t>
  </si>
  <si>
    <t>Wilsonville | OR</t>
  </si>
  <si>
    <t>Cadence Design Systems, Synopsys, Altium Limited</t>
  </si>
  <si>
    <t>Maxar Technologies</t>
  </si>
  <si>
    <t>Westminster | CO</t>
  </si>
  <si>
    <t>ICW Group</t>
  </si>
  <si>
    <t>Liberty Mutual Insurance, EMPLOYERS, Travelers</t>
  </si>
  <si>
    <t>Associate Research Scientist I (Protein Expression and Production)</t>
  </si>
  <si>
    <t>Exelixis</t>
  </si>
  <si>
    <t>Alameda | CA</t>
  </si>
  <si>
    <t>Genentech, Novartis, AstraZeneca</t>
  </si>
  <si>
    <t>Director, Precision Medicine Clinical Biomarker Scientist</t>
  </si>
  <si>
    <t>Senior Formulations Scientist II</t>
  </si>
  <si>
    <t>Grand Rounds</t>
  </si>
  <si>
    <t>SPINS, LLC</t>
  </si>
  <si>
    <t>Senior Quantitative Analyst</t>
  </si>
  <si>
    <t>DTCC</t>
  </si>
  <si>
    <t>Carilion Clinic</t>
  </si>
  <si>
    <t>Roanoke | VA</t>
  </si>
  <si>
    <t>DoubleVerify</t>
  </si>
  <si>
    <t>Research Scientist or Senior Research Scientist - Computer Vision</t>
  </si>
  <si>
    <t>Mitsubishi Electric Research Labs</t>
  </si>
  <si>
    <t>Google, Amazon, NVIDIA</t>
  </si>
  <si>
    <t>Data Analyst Chemist - Quality System Contractor</t>
  </si>
  <si>
    <t>Rodan and Fields, LLC</t>
  </si>
  <si>
    <t>Beauty &amp; Personal Accessories Stores</t>
  </si>
  <si>
    <t>Research Scientist / Principal Research Scientist - Multiphysical Systems</t>
  </si>
  <si>
    <t>Research Scientist, Machine Learning Department</t>
  </si>
  <si>
    <t>Foundational Community Supports Data Analyst</t>
  </si>
  <si>
    <t>DESC</t>
  </si>
  <si>
    <t>Senior Health Data Analyst, Star Ratings</t>
  </si>
  <si>
    <t>Johns Hopkins Health Care</t>
  </si>
  <si>
    <t>Glen | MD</t>
  </si>
  <si>
    <t>MedStar Health, University of Maryland Medical Center, LifeBridge Health</t>
  </si>
  <si>
    <t>Principal Research Scientist/Team Lead, Medicinal Chemistry - Oncology</t>
  </si>
  <si>
    <t>Community Behavioral Health</t>
  </si>
  <si>
    <t>Senior Engineer, Data Management Engineering</t>
  </si>
  <si>
    <t>Milpitas | CA</t>
  </si>
  <si>
    <t>Quality Control Scientist III- Analytical Development</t>
  </si>
  <si>
    <t>Clinical Scientist, Clinical Development</t>
  </si>
  <si>
    <t>FORMA THERAPEUTICS</t>
  </si>
  <si>
    <t>Watertown | MA</t>
  </si>
  <si>
    <t>Software Engineer Staff Scientist: Human Language Technologies</t>
  </si>
  <si>
    <t>Cambridge | MD</t>
  </si>
  <si>
    <t>Manager, Safety Scientist, Medical Safety &amp; Risk Management</t>
  </si>
  <si>
    <t>Assistant Director/Director, Office of Data Science</t>
  </si>
  <si>
    <t>Sr. Data Engineer | Big Data SaaS Pipeline</t>
  </si>
  <si>
    <t>Bridg</t>
  </si>
  <si>
    <t>Scientist - CVRM Metabolism - in vivo pharmacology</t>
  </si>
  <si>
    <t>Charter Spectrum</t>
  </si>
  <si>
    <t>North Salt Lake | UT</t>
  </si>
  <si>
    <t>CompQsoft</t>
  </si>
  <si>
    <t>Solugenix Corporation</t>
  </si>
  <si>
    <t>West Coast University</t>
  </si>
  <si>
    <t>Data Scientist (Warehouse Automation)</t>
  </si>
  <si>
    <t>SoftBank Robotics</t>
  </si>
  <si>
    <t>Jr. Data Scientist</t>
  </si>
  <si>
    <t>SkySync</t>
  </si>
  <si>
    <t>Ann | MI</t>
  </si>
  <si>
    <t>Ann Arbor | MI</t>
  </si>
  <si>
    <t>Data Architect / Data Modeler</t>
  </si>
  <si>
    <t>DatamanUSA, LLC</t>
  </si>
  <si>
    <t>Olympia | WA</t>
  </si>
  <si>
    <t>Centennial | CO</t>
  </si>
  <si>
    <t>Associate Scientist / Sr. Associate Scientist, Antibody Discovery</t>
  </si>
  <si>
    <t>23andMe</t>
  </si>
  <si>
    <t>Ancestry, Verily Life Sciences, Abbott Laboratories</t>
  </si>
  <si>
    <t>Machine Learning Engineer (NLP)</t>
  </si>
  <si>
    <t>Fivestars</t>
  </si>
  <si>
    <t>Belly, SpotOn</t>
  </si>
  <si>
    <t>States with most jobs</t>
  </si>
  <si>
    <t>Average Salary in Different States.</t>
  </si>
  <si>
    <t>Avergae minimal salary with state</t>
  </si>
  <si>
    <t>Avergae maximum salary with state</t>
  </si>
  <si>
    <t>Job Titles with Most Number of Jobs.</t>
  </si>
  <si>
    <t>Ranking analysis &amp; Comparision analysis with Salary of Job Titles with Most Number of Jobs.</t>
  </si>
  <si>
    <t>Relation between Average Salary and Education.</t>
  </si>
  <si>
    <t>Best position to work as as per the average rating</t>
  </si>
  <si>
    <t>Best industry to work with as per the average rating</t>
  </si>
  <si>
    <t>Total Number of companies under sector with average salary</t>
  </si>
  <si>
    <t>Pareto analysis with Total Number of Sectors under Industry with avg salary</t>
  </si>
  <si>
    <t>Type of Ownerships along with count, average salary &amp; rating</t>
  </si>
  <si>
    <t>Job count</t>
  </si>
  <si>
    <t>Avg Salary</t>
  </si>
  <si>
    <t>Min Avg Salary</t>
  </si>
  <si>
    <t>Max Avg Salary</t>
  </si>
  <si>
    <t>Job Count</t>
  </si>
  <si>
    <t>Job Title</t>
  </si>
  <si>
    <t>Avg Sal</t>
  </si>
  <si>
    <t>Ranking based on sal</t>
  </si>
  <si>
    <t xml:space="preserve"> Own questions</t>
  </si>
  <si>
    <t>Average of Rating</t>
  </si>
  <si>
    <t>Count of Company</t>
  </si>
  <si>
    <t>Average Salary</t>
  </si>
  <si>
    <t>Count of Sector</t>
  </si>
  <si>
    <t>Pareto analysis</t>
  </si>
  <si>
    <t>Count of Type_of_ownership</t>
  </si>
  <si>
    <t>Grand Total</t>
  </si>
  <si>
    <t xml:space="preserve"># Note slicer is conneted with tables ranging from column A to N Only </t>
  </si>
  <si>
    <t>TOP INDUSTRY with Data Scientist Jobs</t>
  </si>
  <si>
    <t>Data Scientist Project Manager</t>
  </si>
  <si>
    <t>Designation</t>
  </si>
  <si>
    <t>Questions</t>
  </si>
  <si>
    <t>1. States with Most Number of Jobs.</t>
  </si>
  <si>
    <t>2. Average Minimal and Maximal Salaries in Different States.</t>
  </si>
  <si>
    <t>3. Average Salary in Different States.</t>
  </si>
  <si>
    <t>4. Top 5 Industries with Maximum Number of Data Science Related Job Postings.</t>
  </si>
  <si>
    <t>5 Job Titles with Most Number of Jobs.</t>
  </si>
  <si>
    <t>6. Salary of Job Titles with Most Number of Jobs.</t>
  </si>
  <si>
    <t>7. Skills Required by Companies for Each Job Title.</t>
  </si>
  <si>
    <t>8. Relation between Average Salary and Education.</t>
  </si>
  <si>
    <t>Insights :-</t>
  </si>
  <si>
    <t>- The most number of jobs are in CA California</t>
  </si>
  <si>
    <t>- Avergare minimal salary is of SC Suothern Carolina with $39000 &amp; Maximal average salary is of CA California $154,598</t>
  </si>
  <si>
    <t>- Highest average salary is of CA California and the lowest os of NA Nebraska standing at $123,513 &amp; $54,250</t>
  </si>
  <si>
    <t>- Top 5 industries are mentioned below:</t>
  </si>
  <si>
    <t>- Data Scientist has the most number of jobs</t>
  </si>
  <si>
    <t>- Director has the highest pay with the lowest job count</t>
  </si>
  <si>
    <t>- Data Scientist has the highest requirement of all the tools compared to others</t>
  </si>
  <si>
    <t>- Post Graduate Degress pays the highest</t>
  </si>
  <si>
    <t>My Own questions Insights:-</t>
  </si>
  <si>
    <t>Security servies has the best rating among all the other Industries</t>
  </si>
  <si>
    <t>Media is the best sector to work in according to the avg salary</t>
  </si>
  <si>
    <t>Other retail stores is the best industy to work in with the highest avg salary</t>
  </si>
  <si>
    <t>Private and Public has the highest number od industries witht he best rating and Public sector having the highest avg salary</t>
  </si>
  <si>
    <t>Techniques Used:-</t>
  </si>
  <si>
    <t>Slicers</t>
  </si>
  <si>
    <t>Ranking Analysis</t>
  </si>
  <si>
    <t>Comparision Analysis</t>
  </si>
  <si>
    <t>Pareto Analysis</t>
  </si>
  <si>
    <t>Contribution Analysis</t>
  </si>
  <si>
    <t/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</si>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</sst>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[$$-409]* #,##0_ ;_-[$$-409]* \-#,##0\ ;_-[$$-409]* &quot;-&quot;_ ;_-@_ "/>
    <numFmt numFmtId="165" formatCode="_-[$$-409]* #,##0_ ;_-[$$-409]* \-#,##0\ ;_-[$$-409]* &quot;-&quot;??_ ;_-@_ "/>
    <numFmt numFmtId="166" formatCode="_-[$$-409]* #,##0.0_ ;_-[$$-409]* \-#,##0.0\ ;_-[$$-409]* &quot;-&quot;??_ ;_-@_ "/>
    <numFmt numFmtId="167" formatCode="0.0"/>
    <numFmt numFmtId="168" formatCode="0.0%"/>
    <numFmt numFmtId="169" formatCode="[$$-409]#,##0"/>
  </numFmts>
  <fonts count="12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444444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left" readingOrder="1"/>
    </xf>
    <xf numFmtId="0" fontId="2" fillId="0" borderId="2" xfId="0" applyFont="1" applyBorder="1" applyAlignment="1">
      <alignment horizontal="left" readingOrder="1"/>
    </xf>
    <xf numFmtId="0" fontId="2" fillId="0" borderId="3" xfId="0" applyFont="1" applyBorder="1" applyAlignment="1">
      <alignment horizontal="left" readingOrder="1"/>
    </xf>
    <xf numFmtId="0" fontId="2" fillId="0" borderId="4" xfId="0" applyFont="1" applyBorder="1" applyAlignment="1">
      <alignment horizontal="left" readingOrder="1"/>
    </xf>
    <xf numFmtId="0" fontId="2" fillId="0" borderId="5" xfId="0" applyFont="1" applyBorder="1" applyAlignment="1">
      <alignment horizontal="left" readingOrder="1"/>
    </xf>
    <xf numFmtId="0" fontId="3" fillId="0" borderId="0" xfId="0" applyFont="1"/>
    <xf numFmtId="0" fontId="2" fillId="0" borderId="6" xfId="0" applyFont="1" applyBorder="1" applyAlignment="1">
      <alignment horizontal="left" readingOrder="1"/>
    </xf>
    <xf numFmtId="1" fontId="2" fillId="0" borderId="5" xfId="0" applyNumberFormat="1" applyFont="1" applyBorder="1" applyAlignment="1">
      <alignment horizontal="left" readingOrder="1"/>
    </xf>
    <xf numFmtId="0" fontId="2" fillId="0" borderId="7" xfId="0" applyFont="1" applyBorder="1" applyAlignment="1">
      <alignment horizontal="left" readingOrder="1"/>
    </xf>
    <xf numFmtId="0" fontId="2" fillId="0" borderId="8" xfId="0" applyFont="1" applyBorder="1" applyAlignment="1">
      <alignment horizontal="left" readingOrder="1"/>
    </xf>
    <xf numFmtId="0" fontId="2" fillId="0" borderId="9" xfId="0" applyFont="1" applyBorder="1" applyAlignment="1">
      <alignment horizontal="left" readingOrder="1"/>
    </xf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3" fillId="2" borderId="10" xfId="0" applyFont="1" applyFill="1" applyBorder="1"/>
    <xf numFmtId="0" fontId="6" fillId="3" borderId="10" xfId="0" applyFont="1" applyFill="1" applyBorder="1"/>
    <xf numFmtId="0" fontId="6" fillId="0" borderId="0" xfId="0" applyFont="1" applyAlignment="1">
      <alignment horizontal="left"/>
    </xf>
    <xf numFmtId="0" fontId="7" fillId="4" borderId="11" xfId="0" applyFont="1" applyFill="1" applyBorder="1"/>
    <xf numFmtId="0" fontId="7" fillId="4" borderId="12" xfId="0" applyFont="1" applyFill="1" applyBorder="1"/>
    <xf numFmtId="0" fontId="7" fillId="4" borderId="14" xfId="0" applyFont="1" applyFill="1" applyBorder="1"/>
    <xf numFmtId="0" fontId="9" fillId="4" borderId="15" xfId="0" applyFont="1" applyFill="1" applyBorder="1"/>
    <xf numFmtId="0" fontId="9" fillId="4" borderId="16" xfId="0" applyFont="1" applyFill="1" applyBorder="1"/>
    <xf numFmtId="0" fontId="9" fillId="4" borderId="11" xfId="0" applyFont="1" applyFill="1" applyBorder="1"/>
    <xf numFmtId="0" fontId="9" fillId="4" borderId="10" xfId="0" applyFont="1" applyFill="1" applyBorder="1"/>
    <xf numFmtId="0" fontId="7" fillId="4" borderId="10" xfId="0" applyFont="1" applyFill="1" applyBorder="1"/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166" fontId="3" fillId="0" borderId="17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left"/>
    </xf>
    <xf numFmtId="0" fontId="3" fillId="0" borderId="19" xfId="0" applyFont="1" applyBorder="1"/>
    <xf numFmtId="167" fontId="3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65" fontId="3" fillId="0" borderId="11" xfId="0" applyNumberFormat="1" applyFont="1" applyBorder="1"/>
    <xf numFmtId="10" fontId="3" fillId="0" borderId="0" xfId="0" applyNumberFormat="1" applyFont="1"/>
    <xf numFmtId="165" fontId="3" fillId="0" borderId="17" xfId="0" applyNumberFormat="1" applyFont="1" applyBorder="1" applyAlignment="1">
      <alignment horizontal="center"/>
    </xf>
    <xf numFmtId="10" fontId="3" fillId="0" borderId="11" xfId="0" applyNumberFormat="1" applyFont="1" applyBorder="1"/>
    <xf numFmtId="0" fontId="6" fillId="0" borderId="11" xfId="0" applyFont="1" applyBorder="1"/>
    <xf numFmtId="166" fontId="6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20" xfId="0" applyFont="1" applyBorder="1"/>
    <xf numFmtId="167" fontId="3" fillId="0" borderId="21" xfId="0" applyNumberFormat="1" applyFont="1" applyBorder="1" applyAlignment="1">
      <alignment horizontal="center"/>
    </xf>
    <xf numFmtId="0" fontId="6" fillId="2" borderId="10" xfId="0" applyFont="1" applyFill="1" applyBorder="1"/>
    <xf numFmtId="0" fontId="11" fillId="5" borderId="11" xfId="0" applyFont="1" applyFill="1" applyBorder="1"/>
    <xf numFmtId="0" fontId="6" fillId="0" borderId="17" xfId="0" applyFont="1" applyBorder="1" applyAlignment="1">
      <alignment horizontal="center"/>
    </xf>
    <xf numFmtId="165" fontId="6" fillId="0" borderId="11" xfId="0" applyNumberFormat="1" applyFont="1" applyBorder="1"/>
    <xf numFmtId="165" fontId="6" fillId="0" borderId="1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horizontal="left" readingOrder="1"/>
    </xf>
    <xf numFmtId="0" fontId="2" fillId="3" borderId="11" xfId="0" applyFont="1" applyFill="1" applyBorder="1" applyAlignment="1">
      <alignment horizontal="left" readingOrder="1"/>
    </xf>
    <xf numFmtId="168" fontId="2" fillId="3" borderId="11" xfId="0" applyNumberFormat="1" applyFont="1" applyFill="1" applyBorder="1" applyAlignment="1">
      <alignment horizontal="left" readingOrder="1"/>
    </xf>
    <xf numFmtId="0" fontId="6" fillId="0" borderId="1" xfId="0" applyFont="1" applyBorder="1" applyAlignment="1">
      <alignment horizontal="left" readingOrder="1"/>
    </xf>
    <xf numFmtId="0" fontId="3" fillId="0" borderId="2" xfId="0" applyFont="1" applyBorder="1" applyAlignment="1">
      <alignment horizontal="left" readingOrder="1"/>
    </xf>
    <xf numFmtId="0" fontId="3" fillId="0" borderId="4" xfId="0" applyFont="1" applyBorder="1" applyAlignment="1">
      <alignment horizontal="left" readingOrder="1"/>
    </xf>
    <xf numFmtId="0" fontId="3" fillId="0" borderId="5" xfId="0" applyFont="1" applyBorder="1" applyAlignment="1">
      <alignment horizontal="left" readingOrder="1"/>
    </xf>
    <xf numFmtId="0" fontId="6" fillId="0" borderId="4" xfId="0" applyFont="1" applyBorder="1" applyAlignment="1">
      <alignment horizontal="left" readingOrder="1"/>
    </xf>
    <xf numFmtId="0" fontId="3" fillId="0" borderId="4" xfId="0" quotePrefix="1" applyFont="1" applyBorder="1" applyAlignment="1">
      <alignment horizontal="left" readingOrder="1"/>
    </xf>
    <xf numFmtId="49" fontId="1" fillId="0" borderId="2" xfId="0" applyNumberFormat="1" applyFont="1" applyBorder="1" applyAlignment="1">
      <alignment horizontal="left" readingOrder="1"/>
    </xf>
    <xf numFmtId="167" fontId="1" fillId="0" borderId="2" xfId="0" applyNumberFormat="1" applyFont="1" applyBorder="1" applyAlignment="1">
      <alignment horizontal="left" readingOrder="1"/>
    </xf>
    <xf numFmtId="167" fontId="2" fillId="0" borderId="5" xfId="0" applyNumberFormat="1" applyFont="1" applyBorder="1" applyAlignment="1">
      <alignment horizontal="left" readingOrder="1"/>
    </xf>
    <xf numFmtId="167" fontId="2" fillId="0" borderId="8" xfId="0" applyNumberFormat="1" applyFont="1" applyBorder="1" applyAlignment="1">
      <alignment horizontal="left" readingOrder="1"/>
    </xf>
    <xf numFmtId="167" fontId="0" fillId="0" borderId="0" xfId="0" applyNumberFormat="1"/>
    <xf numFmtId="49" fontId="3" fillId="0" borderId="0" xfId="0" applyNumberFormat="1" applyFont="1"/>
    <xf numFmtId="49" fontId="2" fillId="0" borderId="5" xfId="0" applyNumberFormat="1" applyFont="1" applyBorder="1" applyAlignment="1">
      <alignment horizontal="left" readingOrder="1"/>
    </xf>
    <xf numFmtId="49" fontId="2" fillId="0" borderId="8" xfId="0" applyNumberFormat="1" applyFont="1" applyBorder="1" applyAlignment="1">
      <alignment horizontal="left" readingOrder="1"/>
    </xf>
    <xf numFmtId="49" fontId="0" fillId="0" borderId="0" xfId="0" applyNumberFormat="1"/>
    <xf numFmtId="1" fontId="1" fillId="0" borderId="2" xfId="0" applyNumberFormat="1" applyFont="1" applyBorder="1" applyAlignment="1">
      <alignment horizontal="left" readingOrder="1"/>
    </xf>
    <xf numFmtId="1" fontId="2" fillId="0" borderId="8" xfId="0" applyNumberFormat="1" applyFont="1" applyBorder="1" applyAlignment="1">
      <alignment horizontal="left" readingOrder="1"/>
    </xf>
    <xf numFmtId="1" fontId="0" fillId="0" borderId="0" xfId="0" applyNumberFormat="1"/>
    <xf numFmtId="169" fontId="1" fillId="0" borderId="2" xfId="0" applyNumberFormat="1" applyFont="1" applyBorder="1" applyAlignment="1">
      <alignment horizontal="left" readingOrder="1"/>
    </xf>
    <xf numFmtId="169" fontId="2" fillId="0" borderId="5" xfId="0" applyNumberFormat="1" applyFont="1" applyBorder="1" applyAlignment="1">
      <alignment horizontal="left" readingOrder="1"/>
    </xf>
    <xf numFmtId="169" fontId="2" fillId="0" borderId="8" xfId="0" applyNumberFormat="1" applyFont="1" applyBorder="1" applyAlignment="1">
      <alignment horizontal="left" readingOrder="1"/>
    </xf>
    <xf numFmtId="169" fontId="0" fillId="0" borderId="0" xfId="0" applyNumberFormat="1"/>
    <xf numFmtId="49" fontId="4" fillId="0" borderId="5" xfId="0" applyNumberFormat="1" applyFont="1" applyBorder="1" applyAlignment="1">
      <alignment horizontal="left" readingOrder="1"/>
    </xf>
    <xf numFmtId="0" fontId="0" fillId="0" borderId="23" xfId="0" pivotButton="1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8" fillId="2" borderId="13" xfId="0" applyFont="1" applyFill="1" applyBorder="1" applyAlignment="1">
      <alignment horizontal="center" textRotation="255"/>
    </xf>
    <xf numFmtId="0" fontId="10" fillId="0" borderId="18" xfId="0" applyFont="1" applyBorder="1"/>
    <xf numFmtId="0" fontId="10" fillId="0" borderId="22" xfId="0" applyFont="1" applyBorder="1"/>
    <xf numFmtId="0" fontId="0" fillId="0" borderId="24" xfId="0" applyNumberFormat="1" applyBorder="1"/>
    <xf numFmtId="0" fontId="0" fillId="0" borderId="26" xfId="0" applyNumberFormat="1" applyBorder="1"/>
    <xf numFmtId="0" fontId="0" fillId="0" borderId="28" xfId="0" applyNumberFormat="1" applyBorder="1"/>
    <xf numFmtId="0" fontId="0" fillId="0" borderId="23" xfId="0" applyNumberFormat="1" applyBorder="1"/>
    <xf numFmtId="0" fontId="0" fillId="0" borderId="31" xfId="0" applyNumberFormat="1" applyBorder="1"/>
    <xf numFmtId="0" fontId="0" fillId="0" borderId="32" xfId="0" applyNumberFormat="1" applyBorder="1"/>
    <xf numFmtId="0" fontId="0" fillId="0" borderId="25" xfId="0" applyNumberFormat="1" applyBorder="1"/>
    <xf numFmtId="0" fontId="0" fillId="0" borderId="10" xfId="0" applyNumberFormat="1" applyBorder="1"/>
    <xf numFmtId="0" fontId="0" fillId="0" borderId="33" xfId="0" applyNumberFormat="1" applyBorder="1"/>
    <xf numFmtId="0" fontId="0" fillId="0" borderId="27" xfId="0" applyNumberFormat="1" applyBorder="1"/>
    <xf numFmtId="0" fontId="0" fillId="0" borderId="34" xfId="0" applyNumberFormat="1" applyBorder="1"/>
    <xf numFmtId="0" fontId="0" fillId="0" borderId="35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F59231-54C9-441C-AF63-301179F627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pan" refreshedDate="45643.838947916665" refreshedVersion="8" recordCount="742" xr:uid="{00000000-000A-0000-FFFF-FFFF00000000}">
  <cacheSource type="worksheet">
    <worksheetSource ref="A1:AM743" sheet="Dataset"/>
  </cacheSource>
  <cacheFields count="39">
    <cacheField name="ID" numFmtId="0">
      <sharedItems containsSemiMixedTypes="0" containsString="0" containsNumber="1" containsInteger="1" minValue="1" maxValue="742"/>
    </cacheField>
    <cacheField name="Job_Title" numFmtId="0">
      <sharedItems/>
    </cacheField>
    <cacheField name="Rating" numFmtId="167">
      <sharedItems containsSemiMixedTypes="0" containsString="0" containsNumber="1" minValue="0" maxValue="5"/>
    </cacheField>
    <cacheField name="Company_Name" numFmtId="49">
      <sharedItems/>
    </cacheField>
    <cacheField name="Location" numFmtId="49">
      <sharedItems/>
    </cacheField>
    <cacheField name="Headquarters" numFmtId="49">
      <sharedItems/>
    </cacheField>
    <cacheField name="Size" numFmtId="1">
      <sharedItems containsMixedTypes="1" containsNumber="1" containsInteger="1" minValue="500" maxValue="500"/>
    </cacheField>
    <cacheField name="Founded" numFmtId="1">
      <sharedItems containsMixedTypes="1" containsNumber="1" containsInteger="1" minValue="1744" maxValue="2019"/>
    </cacheField>
    <cacheField name="Type_of_ownership" numFmtId="49">
      <sharedItems count="9">
        <s v="Private"/>
        <s v="Other Organization"/>
        <s v="Government"/>
        <s v="Public"/>
        <s v="Hospital"/>
        <s v="Subsidiary or Business Segment"/>
        <s v="Nonprofit Organization"/>
        <s v="College / University"/>
        <s v="School / School District"/>
      </sharedItems>
    </cacheField>
    <cacheField name="Industry" numFmtId="49">
      <sharedItems/>
    </cacheField>
    <cacheField name="Sector" numFmtId="49">
      <sharedItems/>
    </cacheField>
    <cacheField name="Revenue" numFmtId="49">
      <sharedItems/>
    </cacheField>
    <cacheField name="Competitors" numFmtId="49">
      <sharedItems/>
    </cacheField>
    <cacheField name="Hourly" numFmtId="0">
      <sharedItems containsSemiMixedTypes="0" containsString="0" containsNumber="1" containsInteger="1" minValue="0" maxValue="1"/>
    </cacheField>
    <cacheField name="Employer_provided" numFmtId="1">
      <sharedItems containsSemiMixedTypes="0" containsString="0" containsNumber="1" containsInteger="1" minValue="0" maxValue="1"/>
    </cacheField>
    <cacheField name="Lower_Salary" numFmtId="169">
      <sharedItems containsSemiMixedTypes="0" containsString="0" containsNumber="1" containsInteger="1" minValue="15000" maxValue="202000"/>
    </cacheField>
    <cacheField name="Upper_Salary" numFmtId="169">
      <sharedItems containsSemiMixedTypes="0" containsString="0" containsNumber="1" containsInteger="1" minValue="16000" maxValue="306000"/>
    </cacheField>
    <cacheField name="Avg_SalaryK" numFmtId="169">
      <sharedItems containsSemiMixedTypes="0" containsString="0" containsNumber="1" containsInteger="1" minValue="15500" maxValue="254000"/>
    </cacheField>
    <cacheField name="Job_Location" numFmtId="49">
      <sharedItems count="37">
        <s v="NM"/>
        <s v="MD"/>
        <s v="FL"/>
        <s v="WA"/>
        <s v="NY"/>
        <s v="TX"/>
        <s v="CA"/>
        <s v="VA"/>
        <s v="MA"/>
        <s v="NJ"/>
        <s v="CO"/>
        <s v="IL"/>
        <s v="KY"/>
        <s v="OR"/>
        <s v="CT"/>
        <s v="MI"/>
        <s v="DC"/>
        <s v="OH"/>
        <s v="AL"/>
        <s v="MO"/>
        <s v="PA"/>
        <s v="GA"/>
        <s v="IN"/>
        <s v="LA"/>
        <s v="WI"/>
        <s v="NC"/>
        <s v="AZ"/>
        <s v="NE"/>
        <s v="MN"/>
        <s v="UT"/>
        <s v="TN"/>
        <s v="DE"/>
        <s v="ID"/>
        <s v="RI"/>
        <s v="IA"/>
        <s v="SC"/>
        <s v="KS"/>
      </sharedItems>
    </cacheField>
    <cacheField name="Age" numFmtId="1">
      <sharedItems containsMixedTypes="1" containsNumber="1" containsInteger="1" minValue="4" maxValue="279"/>
    </cacheField>
    <cacheField name="Python" numFmtId="1">
      <sharedItems containsSemiMixedTypes="0" containsString="0" containsNumber="1" containsInteger="1" minValue="0" maxValue="1"/>
    </cacheField>
    <cacheField name="spark" numFmtId="1">
      <sharedItems containsSemiMixedTypes="0" containsString="0" containsNumber="1" containsInteger="1" minValue="0" maxValue="1"/>
    </cacheField>
    <cacheField name="aws" numFmtId="1">
      <sharedItems containsSemiMixedTypes="0" containsString="0" containsNumber="1" containsInteger="1" minValue="0" maxValue="1"/>
    </cacheField>
    <cacheField name="excel" numFmtId="1">
      <sharedItems containsSemiMixedTypes="0" containsString="0" containsNumber="1" containsInteger="1" minValue="0" maxValue="1"/>
    </cacheField>
    <cacheField name="sql_" numFmtId="1">
      <sharedItems containsSemiMixedTypes="0" containsString="0" containsNumber="1" containsInteger="1" minValue="0" maxValue="1"/>
    </cacheField>
    <cacheField name="sas" numFmtId="1">
      <sharedItems containsSemiMixedTypes="0" containsString="0" containsNumber="1" containsInteger="1" minValue="0" maxValue="1"/>
    </cacheField>
    <cacheField name="keras" numFmtId="1">
      <sharedItems containsSemiMixedTypes="0" containsString="0" containsNumber="1" containsInteger="1" minValue="0" maxValue="1"/>
    </cacheField>
    <cacheField name="pytorch" numFmtId="1">
      <sharedItems containsSemiMixedTypes="0" containsString="0" containsNumber="1" containsInteger="1" minValue="0" maxValue="1"/>
    </cacheField>
    <cacheField name="scikit" numFmtId="1">
      <sharedItems containsSemiMixedTypes="0" containsString="0" containsNumber="1" containsInteger="1" minValue="0" maxValue="1"/>
    </cacheField>
    <cacheField name="tensor" numFmtId="1">
      <sharedItems containsSemiMixedTypes="0" containsString="0" containsNumber="1" containsInteger="1" minValue="0" maxValue="1"/>
    </cacheField>
    <cacheField name="hadoop" numFmtId="1">
      <sharedItems containsSemiMixedTypes="0" containsString="0" containsNumber="1" containsInteger="1" minValue="0" maxValue="1"/>
    </cacheField>
    <cacheField name="tableau" numFmtId="1">
      <sharedItems containsSemiMixedTypes="0" containsString="0" containsNumber="1" containsInteger="1" minValue="0" maxValue="1"/>
    </cacheField>
    <cacheField name="bi" numFmtId="1">
      <sharedItems containsSemiMixedTypes="0" containsString="0" containsNumber="1" containsInteger="1" minValue="0" maxValue="1"/>
    </cacheField>
    <cacheField name="flink" numFmtId="1">
      <sharedItems containsSemiMixedTypes="0" containsString="0" containsNumber="1" containsInteger="1" minValue="0" maxValue="1"/>
    </cacheField>
    <cacheField name="mongo" numFmtId="1">
      <sharedItems containsSemiMixedTypes="0" containsString="0" containsNumber="1" containsInteger="1" minValue="0" maxValue="1"/>
    </cacheField>
    <cacheField name="google_an" numFmtId="1">
      <sharedItems containsSemiMixedTypes="0" containsString="0" containsNumber="1" containsInteger="1" minValue="0" maxValue="1"/>
    </cacheField>
    <cacheField name="job_title_sim" numFmtId="49">
      <sharedItems count="10">
        <s v="data scientist"/>
        <s v="other scientist"/>
        <s v="analyst"/>
        <s v="data engineer"/>
        <s v="data analytics"/>
        <s v="data modeler"/>
        <s v="Data scientist project manager"/>
        <s v="machine learning engineer"/>
        <s v="director"/>
        <s v="data analitics" u="1"/>
      </sharedItems>
    </cacheField>
    <cacheField name="seniority_by_title" numFmtId="49">
      <sharedItems/>
    </cacheField>
    <cacheField name="Degre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n v="1"/>
    <s v="Data Scientist"/>
    <n v="3.8"/>
    <s v="Tecolote Research"/>
    <s v="Albuquerque | NM"/>
    <s v="Goleta | CA"/>
    <s v="501 - 1000"/>
    <n v="1973"/>
    <x v="0"/>
    <s v="Aerospace &amp; Defense"/>
    <s v="Aerospace &amp; Defense"/>
    <s v="100 million "/>
    <s v="Unknown"/>
    <n v="0"/>
    <n v="0"/>
    <n v="53000"/>
    <n v="91000"/>
    <n v="72000"/>
    <x v="0"/>
    <n v="50"/>
    <n v="1"/>
    <n v="0"/>
    <n v="0"/>
    <n v="1"/>
    <n v="0"/>
    <n v="1"/>
    <n v="0"/>
    <n v="0"/>
    <n v="0"/>
    <n v="0"/>
    <n v="0"/>
    <n v="1"/>
    <n v="1"/>
    <n v="0"/>
    <n v="0"/>
    <n v="0"/>
    <x v="0"/>
    <s v="intermediate"/>
    <s v="Masters"/>
  </r>
  <r>
    <n v="2"/>
    <s v="Healthcare Data Scientist"/>
    <n v="3.4"/>
    <s v="University of Maryland Medical System"/>
    <s v="Linthicum | MD"/>
    <s v="Baltimore | MD"/>
    <s v="10000+"/>
    <n v="1984"/>
    <x v="1"/>
    <s v="Health Care Services &amp; Hospitals"/>
    <s v="Health Care"/>
    <s v="5 billion "/>
    <s v="Unknown"/>
    <n v="0"/>
    <n v="0"/>
    <n v="63000"/>
    <n v="112000"/>
    <n v="87500"/>
    <x v="1"/>
    <n v="39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3"/>
    <s v="Data Scientist"/>
    <n v="4.8"/>
    <s v="KnowBe4"/>
    <s v="Clearwater | FL"/>
    <s v="Clearwater | FL"/>
    <s v="501 - 1000"/>
    <n v="2010"/>
    <x v="0"/>
    <s v="Security Services"/>
    <s v="Business Services"/>
    <s v="500 million"/>
    <s v="Unknown"/>
    <n v="0"/>
    <n v="0"/>
    <n v="80000"/>
    <n v="90000"/>
    <n v="85000"/>
    <x v="2"/>
    <n v="13"/>
    <n v="1"/>
    <n v="1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4"/>
    <s v="Data Scientist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56000"/>
    <n v="97000"/>
    <n v="76500"/>
    <x v="3"/>
    <n v="58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5"/>
    <s v="Data Scientist"/>
    <n v="2.9"/>
    <s v="Affinity Solutions"/>
    <s v="New | NY"/>
    <s v="New York | NY"/>
    <s v="51 - 200"/>
    <n v="1998"/>
    <x v="0"/>
    <s v="Advertising &amp; Marketing"/>
    <s v="Business Services"/>
    <s v="Unknown / Non-Applicable"/>
    <s v="Commerce Signals, Cardlytics, Yodlee"/>
    <n v="0"/>
    <n v="0"/>
    <n v="86000"/>
    <n v="143000"/>
    <n v="114500"/>
    <x v="4"/>
    <n v="25"/>
    <n v="1"/>
    <n v="0"/>
    <n v="0"/>
    <n v="1"/>
    <n v="1"/>
    <n v="1"/>
    <n v="0"/>
    <n v="0"/>
    <n v="0"/>
    <n v="0"/>
    <n v="0"/>
    <n v="0"/>
    <n v="0"/>
    <n v="0"/>
    <n v="0"/>
    <n v="0"/>
    <x v="0"/>
    <s v="intermediate"/>
    <s v="Graduates"/>
  </r>
  <r>
    <n v="6"/>
    <s v="Data Scientist"/>
    <n v="3.4"/>
    <s v="CyrusOne"/>
    <s v="Dallas | TX"/>
    <s v="Dallas | TX"/>
    <s v="201 - 500"/>
    <n v="2000"/>
    <x v="3"/>
    <s v="Real Estate"/>
    <s v="Real Estate"/>
    <s v="2 billion "/>
    <s v="Digital Realty, CoreSite, Equinix"/>
    <n v="0"/>
    <n v="0"/>
    <n v="71000"/>
    <n v="119000"/>
    <n v="95000"/>
    <x v="5"/>
    <n v="23"/>
    <n v="1"/>
    <n v="0"/>
    <n v="1"/>
    <n v="1"/>
    <n v="1"/>
    <n v="0"/>
    <n v="0"/>
    <n v="0"/>
    <n v="0"/>
    <n v="0"/>
    <n v="0"/>
    <n v="0"/>
    <n v="1"/>
    <n v="0"/>
    <n v="1"/>
    <n v="0"/>
    <x v="0"/>
    <s v="intermediate"/>
    <s v="Graduates"/>
  </r>
  <r>
    <n v="7"/>
    <s v="Data Scientist"/>
    <n v="4.0999999999999996"/>
    <s v="ClearOne Advantage"/>
    <s v="Baltimore | MD"/>
    <s v="Baltimore | MD"/>
    <s v="501 - 1000"/>
    <n v="2008"/>
    <x v="0"/>
    <s v="Banks &amp; Credit Unions"/>
    <s v="Finance"/>
    <s v="Unknown / Non-Applicable"/>
    <s v="Unknown"/>
    <n v="0"/>
    <n v="0"/>
    <n v="54000"/>
    <n v="93000"/>
    <n v="73500"/>
    <x v="1"/>
    <n v="15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8"/>
    <s v="Data Scientist"/>
    <n v="3.8"/>
    <s v="Logic20/20"/>
    <s v="San | CA"/>
    <s v="Seattle | WA"/>
    <s v="201 - 500"/>
    <n v="2005"/>
    <x v="0"/>
    <s v="Consulting"/>
    <s v="Business Services"/>
    <s v="50 million "/>
    <s v="Unknown"/>
    <n v="0"/>
    <n v="0"/>
    <n v="86000"/>
    <n v="142000"/>
    <n v="114000"/>
    <x v="6"/>
    <n v="18"/>
    <n v="1"/>
    <n v="1"/>
    <n v="1"/>
    <n v="1"/>
    <n v="1"/>
    <n v="0"/>
    <n v="0"/>
    <n v="1"/>
    <n v="0"/>
    <n v="1"/>
    <n v="0"/>
    <n v="0"/>
    <n v="0"/>
    <n v="0"/>
    <n v="0"/>
    <n v="0"/>
    <x v="0"/>
    <s v="intermediate"/>
    <s v="Masters"/>
  </r>
  <r>
    <n v="9"/>
    <s v="Research Scientist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38000"/>
    <n v="84000"/>
    <n v="610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10"/>
    <s v="Data Scientist"/>
    <n v="4.5999999999999996"/>
    <s v="&lt;intent&gt;"/>
    <s v="New | NY"/>
    <s v="New York | NY"/>
    <s v="51 - 200"/>
    <n v="2009"/>
    <x v="0"/>
    <s v="Internet"/>
    <s v="Information Technology"/>
    <s v="500 million"/>
    <s v="Clicktripz, SmarterTravel"/>
    <n v="0"/>
    <n v="0"/>
    <n v="120000"/>
    <n v="160000"/>
    <n v="140000"/>
    <x v="4"/>
    <n v="14"/>
    <n v="1"/>
    <n v="1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11"/>
    <s v="Data Scientist"/>
    <n v="3.5"/>
    <s v="Wish"/>
    <s v="San | CA"/>
    <s v="San Francisco | CA"/>
    <s v="501 - 1000"/>
    <n v="2011"/>
    <x v="0"/>
    <s v="Other Retail Stores"/>
    <s v="Retail"/>
    <s v="2 billion "/>
    <s v="Unknown"/>
    <n v="0"/>
    <n v="0"/>
    <n v="126000"/>
    <n v="201000"/>
    <n v="163500"/>
    <x v="6"/>
    <n v="12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12"/>
    <s v="Data Scientist"/>
    <n v="4.0999999999999996"/>
    <s v="ManTech"/>
    <s v="Chantilly | VA"/>
    <s v="Herndon | VA"/>
    <s v="5001 - 10000"/>
    <n v="1968"/>
    <x v="3"/>
    <s v="Research &amp; Development"/>
    <s v="Business Services"/>
    <s v="2 billion "/>
    <s v="Unknown"/>
    <n v="0"/>
    <n v="0"/>
    <n v="64000"/>
    <n v="106000"/>
    <n v="85000"/>
    <x v="7"/>
    <n v="55"/>
    <n v="0"/>
    <n v="0"/>
    <n v="0"/>
    <n v="0"/>
    <n v="1"/>
    <n v="0"/>
    <n v="0"/>
    <n v="0"/>
    <n v="0"/>
    <n v="0"/>
    <n v="1"/>
    <n v="0"/>
    <n v="0"/>
    <n v="0"/>
    <n v="0"/>
    <n v="0"/>
    <x v="0"/>
    <s v="intermediate"/>
    <s v="Graduates"/>
  </r>
  <r>
    <n v="13"/>
    <s v="Staff Data Scientist - Technology"/>
    <n v="3.2"/>
    <s v="Walmart"/>
    <s v="Plano | TX"/>
    <s v="Bentonville | AR"/>
    <s v="10000+"/>
    <n v="1962"/>
    <x v="3"/>
    <s v="Department, Clothing, &amp; Shoe Stores"/>
    <s v="Retail"/>
    <s v="10 billion "/>
    <s v="Target, Costco Wholesale, Amazon"/>
    <n v="0"/>
    <n v="0"/>
    <n v="106000"/>
    <n v="172000"/>
    <n v="139000"/>
    <x v="5"/>
    <n v="61"/>
    <n v="0"/>
    <n v="0"/>
    <n v="0"/>
    <n v="0"/>
    <n v="1"/>
    <n v="0"/>
    <n v="0"/>
    <n v="0"/>
    <n v="0"/>
    <n v="0"/>
    <n v="1"/>
    <n v="0"/>
    <n v="0"/>
    <n v="0"/>
    <n v="0"/>
    <n v="0"/>
    <x v="0"/>
    <s v="intermediate"/>
    <s v="Masters"/>
  </r>
  <r>
    <n v="14"/>
    <s v="Data Analyst"/>
    <n v="4.0999999999999996"/>
    <s v="Yesler"/>
    <s v="Seattle | WA"/>
    <s v="Seattle | WA"/>
    <s v="201 - 500"/>
    <n v="2012"/>
    <x v="0"/>
    <s v="Advertising &amp; Marketing"/>
    <s v="Business Services"/>
    <s v="Unknown / Non-Applicable"/>
    <s v="Unknown"/>
    <n v="0"/>
    <n v="0"/>
    <n v="46000"/>
    <n v="85000"/>
    <n v="65500"/>
    <x v="3"/>
    <n v="11"/>
    <n v="1"/>
    <n v="1"/>
    <n v="1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15"/>
    <s v="Data Scientist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83000"/>
    <n v="144000"/>
    <n v="113500"/>
    <x v="8"/>
    <n v="242"/>
    <n v="1"/>
    <n v="1"/>
    <n v="0"/>
    <n v="0"/>
    <n v="1"/>
    <n v="0"/>
    <n v="0"/>
    <n v="0"/>
    <n v="0"/>
    <n v="1"/>
    <n v="0"/>
    <n v="0"/>
    <n v="0"/>
    <n v="0"/>
    <n v="0"/>
    <n v="0"/>
    <x v="0"/>
    <s v="intermediate"/>
    <s v="Masters"/>
  </r>
  <r>
    <n v="16"/>
    <s v="Data Engineer I"/>
    <n v="3.6"/>
    <s v="Audible"/>
    <s v="Newark | NJ"/>
    <s v="Newark | NJ"/>
    <s v="1001 - 5000"/>
    <n v="1995"/>
    <x v="5"/>
    <s v="Motion Picture Production &amp; Distribution"/>
    <s v="Media"/>
    <s v="Unknown / Non-Applicable"/>
    <s v="Unknown"/>
    <n v="0"/>
    <n v="0"/>
    <n v="102000"/>
    <n v="190000"/>
    <n v="146000"/>
    <x v="9"/>
    <n v="28"/>
    <n v="0"/>
    <n v="0"/>
    <n v="0"/>
    <n v="1"/>
    <n v="0"/>
    <n v="0"/>
    <n v="0"/>
    <n v="0"/>
    <n v="0"/>
    <n v="0"/>
    <n v="0"/>
    <n v="0"/>
    <n v="0"/>
    <n v="0"/>
    <n v="0"/>
    <n v="0"/>
    <x v="3"/>
    <s v="intermediate"/>
    <s v="Graduates"/>
  </r>
  <r>
    <n v="17"/>
    <s v="Scientist I/II, Biology"/>
    <n v="3.9"/>
    <s v="Blueprint Medicines"/>
    <s v="Cambridge | MA"/>
    <s v="Cambridge | MA"/>
    <s v="51 - 200"/>
    <n v="2011"/>
    <x v="3"/>
    <s v="Biotech &amp; Pharmaceuticals"/>
    <s v="Biotech &amp; Pharmaceuticals"/>
    <s v="5 million"/>
    <s v="bluebird bio, Agios Pharmaceuticals, Celgene"/>
    <n v="0"/>
    <n v="0"/>
    <n v="67000"/>
    <n v="137000"/>
    <n v="102000"/>
    <x v="8"/>
    <n v="1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18"/>
    <s v="Customer Data Scientist"/>
    <n v="4.3"/>
    <s v="h2o.ai"/>
    <s v="Mountain | CA"/>
    <s v="Mountain View | CA"/>
    <s v="201 - 500"/>
    <n v="2011"/>
    <x v="0"/>
    <s v="Enterprise Software &amp; Network Solutions"/>
    <s v="Information Technology"/>
    <s v="Unknown / Non-Applicable"/>
    <s v="Unknown"/>
    <n v="0"/>
    <n v="0"/>
    <n v="118000"/>
    <n v="189000"/>
    <n v="153500"/>
    <x v="6"/>
    <n v="12"/>
    <n v="1"/>
    <n v="1"/>
    <n v="1"/>
    <n v="1"/>
    <n v="0"/>
    <n v="0"/>
    <n v="0"/>
    <n v="0"/>
    <n v="0"/>
    <n v="0"/>
    <n v="1"/>
    <n v="0"/>
    <n v="0"/>
    <n v="0"/>
    <n v="0"/>
    <n v="0"/>
    <x v="0"/>
    <s v="intermediate"/>
    <s v="Masters"/>
  </r>
  <r>
    <n v="19"/>
    <s v="Data Scientist - Health Data Analytics"/>
    <n v="4.2"/>
    <s v="Nuna"/>
    <s v="San | CA"/>
    <s v="San Francisco | CA"/>
    <s v="51 - 200"/>
    <n v="2010"/>
    <x v="0"/>
    <s v="Enterprise Software &amp; Network Solutions"/>
    <s v="Information Technology"/>
    <s v="Unknown / Non-Applicable"/>
    <s v="Unknown"/>
    <n v="0"/>
    <n v="0"/>
    <n v="110000"/>
    <n v="175000"/>
    <n v="142500"/>
    <x v="6"/>
    <n v="13"/>
    <n v="0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20"/>
    <s v="Data Scientist"/>
    <n v="4"/>
    <s v="Pinnacol Assurance"/>
    <s v="Denver | CO"/>
    <s v="Denver | CO"/>
    <s v="501 - 1000"/>
    <n v="1915"/>
    <x v="6"/>
    <s v="Insurance Carriers"/>
    <s v="Insurance"/>
    <s v="750 million"/>
    <s v="Unknown"/>
    <n v="0"/>
    <n v="0"/>
    <n v="64000"/>
    <n v="111000"/>
    <n v="87500"/>
    <x v="10"/>
    <n v="108"/>
    <n v="1"/>
    <n v="0"/>
    <n v="0"/>
    <n v="1"/>
    <n v="1"/>
    <n v="0"/>
    <n v="1"/>
    <n v="1"/>
    <n v="1"/>
    <n v="1"/>
    <n v="0"/>
    <n v="0"/>
    <n v="0"/>
    <n v="0"/>
    <n v="0"/>
    <n v="0"/>
    <x v="0"/>
    <s v="intermediate"/>
    <s v="Masters"/>
  </r>
  <r>
    <n v="21"/>
    <s v="Data Scientist"/>
    <n v="3.2"/>
    <s v="Porch"/>
    <s v="Seattle | WA"/>
    <s v="Seattle | WA"/>
    <s v="201 - 500"/>
    <n v="2012"/>
    <x v="0"/>
    <s v="Internet"/>
    <s v="Information Technology"/>
    <s v="Unknown / Non-Applicable"/>
    <s v="Angie's List, HomeAdvisor, Thumbtack"/>
    <n v="0"/>
    <n v="0"/>
    <n v="81000"/>
    <n v="130000"/>
    <n v="105500"/>
    <x v="3"/>
    <n v="11"/>
    <n v="1"/>
    <n v="1"/>
    <n v="0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22"/>
    <s v="Senior Data Scientist / Machine Learning"/>
    <n v="3.9"/>
    <s v="Health IQ"/>
    <s v="Dallas | TX"/>
    <s v="Mountain View | CA"/>
    <s v="201 - 500"/>
    <n v="2013"/>
    <x v="0"/>
    <s v="Insurance Agencies &amp; Brokerages"/>
    <s v="Insurance"/>
    <s v="Unknown / Non-Applicable"/>
    <s v="Unknown"/>
    <n v="0"/>
    <n v="0"/>
    <n v="73000"/>
    <n v="119000"/>
    <n v="96000"/>
    <x v="5"/>
    <n v="10"/>
    <n v="0"/>
    <n v="0"/>
    <n v="0"/>
    <n v="1"/>
    <n v="0"/>
    <n v="0"/>
    <n v="0"/>
    <n v="0"/>
    <n v="0"/>
    <n v="0"/>
    <n v="0"/>
    <n v="0"/>
    <n v="0"/>
    <n v="0"/>
    <n v="0"/>
    <n v="0"/>
    <x v="0"/>
    <s v="Senior "/>
    <s v="Post Graduates"/>
  </r>
  <r>
    <n v="23"/>
    <s v="Data Scientist - Quantitative"/>
    <n v="3.8"/>
    <s v="Truckstop.com"/>
    <s v="Chicago | IL"/>
    <s v="New Plymouth | ID"/>
    <s v="501 - 1000"/>
    <n v="1995"/>
    <x v="0"/>
    <s v="Logistics &amp; Supply Chain"/>
    <s v="Transportation &amp; Logistics"/>
    <s v="Unknown / Non-Applicable"/>
    <s v="Unknown"/>
    <n v="0"/>
    <n v="0"/>
    <n v="86000"/>
    <n v="139000"/>
    <n v="112500"/>
    <x v="11"/>
    <n v="28"/>
    <n v="1"/>
    <n v="0"/>
    <n v="1"/>
    <n v="1"/>
    <n v="1"/>
    <n v="0"/>
    <n v="0"/>
    <n v="0"/>
    <n v="0"/>
    <n v="0"/>
    <n v="0"/>
    <n v="0"/>
    <n v="0"/>
    <n v="0"/>
    <n v="1"/>
    <n v="0"/>
    <x v="0"/>
    <s v="intermediate"/>
    <s v="Masters"/>
  </r>
  <r>
    <n v="24"/>
    <s v="Data Scientist"/>
    <n v="4.3"/>
    <s v="SMC 3"/>
    <s v="Louisville | KY"/>
    <s v="Peachtree City | GA"/>
    <s v="51 - 200"/>
    <n v="1935"/>
    <x v="6"/>
    <s v="Logistics &amp; Supply Chain"/>
    <s v="Transportation &amp; Logistics"/>
    <s v="25 million"/>
    <s v="Unknown"/>
    <n v="0"/>
    <n v="0"/>
    <n v="63000"/>
    <n v="105000"/>
    <n v="84000"/>
    <x v="12"/>
    <n v="88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Masters"/>
  </r>
  <r>
    <n v="25"/>
    <s v="Data Scientist"/>
    <n v="4"/>
    <s v="Novetta"/>
    <s v="Herndon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109000"/>
    <n v="177000"/>
    <n v="143000"/>
    <x v="7"/>
    <n v="11"/>
    <n v="1"/>
    <n v="0"/>
    <n v="1"/>
    <n v="0"/>
    <n v="0"/>
    <n v="0"/>
    <n v="1"/>
    <n v="0"/>
    <n v="0"/>
    <n v="1"/>
    <n v="0"/>
    <n v="0"/>
    <n v="0"/>
    <n v="0"/>
    <n v="0"/>
    <n v="0"/>
    <x v="0"/>
    <s v="intermediate"/>
    <s v="Graduates"/>
  </r>
  <r>
    <n v="26"/>
    <s v="Digital Health Data Scientist"/>
    <n v="4"/>
    <s v="Pfizer"/>
    <s v="Cambridge | MA"/>
    <s v="New York | NY"/>
    <s v="10000+"/>
    <n v="1849"/>
    <x v="3"/>
    <s v="Biotech &amp; Pharmaceuticals"/>
    <s v="Biotech &amp; Pharmaceuticals"/>
    <s v="10 billion "/>
    <s v="Unknown"/>
    <n v="0"/>
    <n v="0"/>
    <n v="63000"/>
    <n v="110000"/>
    <n v="86500"/>
    <x v="8"/>
    <n v="174"/>
    <n v="1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27"/>
    <s v="Data Scientist"/>
    <n v="3.5"/>
    <s v="First Tech Federal Credit Union"/>
    <s v="Hillsboro | OR"/>
    <s v="San Jose | CA"/>
    <s v="1001 - 5000"/>
    <n v="1952"/>
    <x v="0"/>
    <s v="Banks &amp; Credit Unions"/>
    <s v="Finance"/>
    <s v="500 million"/>
    <s v="Unknown"/>
    <n v="0"/>
    <n v="0"/>
    <n v="75000"/>
    <n v="124000"/>
    <n v="99500"/>
    <x v="13"/>
    <n v="71"/>
    <n v="1"/>
    <n v="1"/>
    <n v="1"/>
    <n v="1"/>
    <n v="1"/>
    <n v="0"/>
    <n v="1"/>
    <n v="0"/>
    <n v="1"/>
    <n v="1"/>
    <n v="0"/>
    <n v="1"/>
    <n v="0"/>
    <n v="0"/>
    <n v="0"/>
    <n v="0"/>
    <x v="0"/>
    <s v="intermediate"/>
    <s v="Graduates"/>
  </r>
  <r>
    <n v="28"/>
    <s v="Associate Data Analyst"/>
    <n v="3.7"/>
    <s v="The Hanover Insurance Group"/>
    <s v="Worcester | MA"/>
    <s v="Worcester | MA"/>
    <s v="5001 - 10000"/>
    <n v="1852"/>
    <x v="3"/>
    <s v="Insurance Carriers"/>
    <s v="Insurance"/>
    <s v="10 billion"/>
    <s v="Unknown"/>
    <n v="0"/>
    <n v="0"/>
    <n v="34000"/>
    <n v="61000"/>
    <n v="47500"/>
    <x v="8"/>
    <n v="171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29"/>
    <s v="Clinical Data Scientist"/>
    <n v="4"/>
    <s v="Pfizer"/>
    <s v="Groton | CT"/>
    <s v="New York | NY"/>
    <s v="10000+"/>
    <n v="1849"/>
    <x v="3"/>
    <s v="Biotech &amp; Pharmaceuticals"/>
    <s v="Biotech &amp; Pharmaceuticals"/>
    <s v="10 billion "/>
    <s v="Unknown"/>
    <n v="0"/>
    <n v="0"/>
    <n v="63000"/>
    <n v="105000"/>
    <n v="84000"/>
    <x v="14"/>
    <n v="174"/>
    <n v="0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30"/>
    <s v="Data Scientist"/>
    <n v="4.8"/>
    <s v="KnowBe4"/>
    <s v="Clearwater | FL"/>
    <s v="Clearwater | FL"/>
    <s v="501 - 1000"/>
    <n v="2010"/>
    <x v="0"/>
    <s v="Security Services"/>
    <s v="Business Services"/>
    <s v="500 million"/>
    <s v="Unknown"/>
    <n v="0"/>
    <n v="0"/>
    <n v="80000"/>
    <n v="90000"/>
    <n v="85000"/>
    <x v="2"/>
    <n v="13"/>
    <n v="1"/>
    <n v="1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31"/>
    <s v="Data Scientist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56000"/>
    <n v="97000"/>
    <n v="76500"/>
    <x v="3"/>
    <n v="58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32"/>
    <s v="Data Scientist"/>
    <n v="3.6"/>
    <s v="Amrock"/>
    <s v="Detroit | MI"/>
    <s v="Detroit | MI"/>
    <s v="1001 - 5000"/>
    <n v="1997"/>
    <x v="0"/>
    <s v="Real Estate"/>
    <s v="Real Estate"/>
    <s v="750 million"/>
    <s v="Unknown"/>
    <n v="0"/>
    <n v="0"/>
    <n v="72000"/>
    <n v="120000"/>
    <n v="96000"/>
    <x v="15"/>
    <n v="26"/>
    <n v="1"/>
    <n v="0"/>
    <n v="0"/>
    <n v="0"/>
    <n v="1"/>
    <n v="1"/>
    <n v="0"/>
    <n v="0"/>
    <n v="0"/>
    <n v="0"/>
    <n v="0"/>
    <n v="0"/>
    <n v="0"/>
    <n v="0"/>
    <n v="0"/>
    <n v="0"/>
    <x v="0"/>
    <s v="intermediate"/>
    <s v="Masters"/>
  </r>
  <r>
    <n v="33"/>
    <s v="Data Scientist / Machine Learning Expert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86000"/>
    <n v="143000"/>
    <n v="114500"/>
    <x v="8"/>
    <n v="27"/>
    <n v="1"/>
    <n v="0"/>
    <n v="0"/>
    <n v="0"/>
    <n v="0"/>
    <n v="0"/>
    <n v="0"/>
    <n v="1"/>
    <n v="1"/>
    <n v="0"/>
    <n v="0"/>
    <n v="0"/>
    <n v="0"/>
    <n v="0"/>
    <n v="0"/>
    <n v="0"/>
    <x v="0"/>
    <s v="intermediate"/>
    <s v="Graduates"/>
  </r>
  <r>
    <n v="34"/>
    <s v="Data Scientist"/>
    <n v="3.8"/>
    <s v="Juniper Networks"/>
    <s v="Sunnyvale | CA"/>
    <s v="Sunnyvale | CA"/>
    <s v="5001 - 10000"/>
    <n v="1996"/>
    <x v="3"/>
    <s v="Telecommunications Services"/>
    <s v="Telecommunications"/>
    <s v="5 billion "/>
    <s v="Unknown"/>
    <n v="0"/>
    <n v="0"/>
    <n v="93000"/>
    <n v="149000"/>
    <n v="121000"/>
    <x v="6"/>
    <n v="27"/>
    <n v="1"/>
    <n v="1"/>
    <n v="0"/>
    <n v="1"/>
    <n v="1"/>
    <n v="0"/>
    <n v="1"/>
    <n v="0"/>
    <n v="1"/>
    <n v="1"/>
    <n v="0"/>
    <n v="0"/>
    <n v="0"/>
    <n v="0"/>
    <n v="1"/>
    <n v="0"/>
    <x v="0"/>
    <s v="intermediate"/>
    <s v="Masters"/>
  </r>
  <r>
    <n v="35"/>
    <s v="Data Scientist"/>
    <n v="4.7"/>
    <s v="New England Biolabs"/>
    <s v="Ipswich | MA"/>
    <s v="Ipswich | MA"/>
    <s v="201 - 500"/>
    <n v="1974"/>
    <x v="0"/>
    <s v="Biotech &amp; Pharmaceuticals"/>
    <s v="Biotech &amp; Pharmaceuticals"/>
    <s v="Unknown / Non-Applicable"/>
    <s v="Thermo Fisher Scientific, Enzymatics, Illumina"/>
    <n v="0"/>
    <n v="0"/>
    <n v="85000"/>
    <n v="140000"/>
    <n v="112500"/>
    <x v="8"/>
    <n v="49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36"/>
    <s v="Web Data Analyst"/>
    <n v="4.2"/>
    <s v="Clarity Insights"/>
    <s v="San | CA"/>
    <s v="Chicago | IL"/>
    <s v="201 - 500"/>
    <n v="2008"/>
    <x v="0"/>
    <s v="IT Services"/>
    <s v="Information Technology"/>
    <s v="Unknown / Non-Applicable"/>
    <s v="Unknown"/>
    <n v="0"/>
    <n v="0"/>
    <n v="77000"/>
    <n v="135000"/>
    <n v="106000"/>
    <x v="6"/>
    <n v="15"/>
    <n v="1"/>
    <n v="0"/>
    <n v="0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37"/>
    <s v="Data Scientist"/>
    <n v="3.5"/>
    <s v="Esri"/>
    <s v="Redlands | CA"/>
    <s v="Redlands | CA"/>
    <s v="1001 - 5000"/>
    <n v="1969"/>
    <x v="0"/>
    <s v="Computer Hardware &amp; Software"/>
    <s v="Information Technology"/>
    <s v="2 billion "/>
    <s v="Pitney Bowes"/>
    <n v="0"/>
    <n v="0"/>
    <n v="82000"/>
    <n v="132000"/>
    <n v="107000"/>
    <x v="6"/>
    <n v="54"/>
    <n v="1"/>
    <n v="1"/>
    <n v="1"/>
    <n v="0"/>
    <n v="0"/>
    <n v="0"/>
    <n v="0"/>
    <n v="0"/>
    <n v="0"/>
    <n v="0"/>
    <n v="1"/>
    <n v="1"/>
    <n v="0"/>
    <n v="0"/>
    <n v="1"/>
    <n v="0"/>
    <x v="0"/>
    <s v="intermediate"/>
    <s v="Masters"/>
  </r>
  <r>
    <n v="38"/>
    <s v="Data Scientist"/>
    <n v="4.7"/>
    <s v="Systems &amp; Technology Research"/>
    <s v="Woburn | MA"/>
    <s v="Woburn | MA"/>
    <s v="201 - 500"/>
    <n v="2010"/>
    <x v="0"/>
    <s v="Aerospace &amp; Defense"/>
    <s v="Aerospace &amp; Defense"/>
    <s v="500 million"/>
    <s v="Unknown"/>
    <n v="0"/>
    <n v="0"/>
    <n v="83000"/>
    <n v="137000"/>
    <n v="110000"/>
    <x v="8"/>
    <n v="13"/>
    <n v="1"/>
    <n v="1"/>
    <n v="0"/>
    <n v="1"/>
    <n v="1"/>
    <n v="0"/>
    <n v="0"/>
    <n v="1"/>
    <n v="1"/>
    <n v="1"/>
    <n v="1"/>
    <n v="0"/>
    <n v="0"/>
    <n v="0"/>
    <n v="0"/>
    <n v="0"/>
    <x v="0"/>
    <s v="intermediate"/>
    <s v="Post Graduates"/>
  </r>
  <r>
    <n v="39"/>
    <s v="Senior Data Scientist"/>
    <n v="3.5"/>
    <s v="Sartorius"/>
    <s v="Fremont | CA"/>
    <s v="Gottingen | Germany"/>
    <s v="5001 - 10000"/>
    <n v="1870"/>
    <x v="3"/>
    <s v="Biotech &amp; Pharmaceuticals"/>
    <s v="Biotech &amp; Pharmaceuticals"/>
    <s v="2 billion "/>
    <s v="Unknown"/>
    <n v="0"/>
    <n v="0"/>
    <n v="115000"/>
    <n v="180000"/>
    <n v="147500"/>
    <x v="6"/>
    <n v="153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40"/>
    <s v="Data Engineer"/>
    <n v="3.5"/>
    <s v="Lancer Insurance"/>
    <s v="Long | NY"/>
    <s v="Long Beach | NY"/>
    <s v="201 - 500"/>
    <n v="1985"/>
    <x v="0"/>
    <s v="Insurance Carriers"/>
    <s v="Insurance"/>
    <s v="500 million"/>
    <s v="Unknown"/>
    <n v="0"/>
    <n v="0"/>
    <n v="74000"/>
    <n v="138000"/>
    <n v="106000"/>
    <x v="4"/>
    <n v="38"/>
    <n v="1"/>
    <n v="0"/>
    <n v="0"/>
    <n v="1"/>
    <n v="1"/>
    <n v="0"/>
    <n v="0"/>
    <n v="0"/>
    <n v="0"/>
    <n v="0"/>
    <n v="0"/>
    <n v="0"/>
    <n v="0"/>
    <n v="0"/>
    <n v="0"/>
    <n v="0"/>
    <x v="3"/>
    <s v="intermediate"/>
    <s v="Masters"/>
  </r>
  <r>
    <n v="41"/>
    <s v="Data Analyst"/>
    <n v="4.2"/>
    <s v="Sauce Labs"/>
    <s v="San | CA"/>
    <s v="San Francisco | CA"/>
    <s v="201 - 500"/>
    <n v="2008"/>
    <x v="0"/>
    <s v="IT Services"/>
    <s v="Information Technology"/>
    <s v="100 million "/>
    <s v="BrowserStack, Selenium Master, Perfecto Mobile"/>
    <n v="0"/>
    <n v="0"/>
    <n v="64000"/>
    <n v="112000"/>
    <n v="88000"/>
    <x v="6"/>
    <n v="15"/>
    <n v="1"/>
    <n v="0"/>
    <n v="1"/>
    <n v="1"/>
    <n v="1"/>
    <n v="0"/>
    <n v="0"/>
    <n v="0"/>
    <n v="0"/>
    <n v="0"/>
    <n v="0"/>
    <n v="1"/>
    <n v="0"/>
    <n v="0"/>
    <n v="1"/>
    <n v="0"/>
    <x v="2"/>
    <s v="intermediate"/>
    <s v="Graduates"/>
  </r>
  <r>
    <n v="42"/>
    <s v="Data Engineer"/>
    <n v="3.6"/>
    <s v="Persivia"/>
    <s v="Marlborough | MA"/>
    <s v="Lowell | MA"/>
    <n v="500"/>
    <s v="Unknown"/>
    <x v="0"/>
    <s v="Unknown"/>
    <s v="Unknown"/>
    <s v="1 million"/>
    <s v="Unknown"/>
    <n v="0"/>
    <n v="0"/>
    <n v="68000"/>
    <n v="129000"/>
    <n v="98500"/>
    <x v="8"/>
    <s v="Unknown"/>
    <n v="0"/>
    <n v="0"/>
    <n v="0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43"/>
    <s v="Data Scientist - Algorithms &amp; Inference"/>
    <n v="4.2"/>
    <s v="Nuna"/>
    <s v="San | CA"/>
    <s v="San Francisco | CA"/>
    <s v="51 - 200"/>
    <n v="2010"/>
    <x v="0"/>
    <s v="Unknown"/>
    <s v="Unknown"/>
    <s v="Unknown / Non-Applicable"/>
    <s v="Unknown"/>
    <n v="0"/>
    <n v="0"/>
    <n v="110000"/>
    <n v="175000"/>
    <n v="142500"/>
    <x v="6"/>
    <n v="13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44"/>
    <s v="Scientist"/>
    <n v="3.4"/>
    <s v="Edgewell Personal Care"/>
    <s v="Allendale | NJ"/>
    <s v="Shelton | CT"/>
    <s v="5001 - 10000"/>
    <n v="2015"/>
    <x v="3"/>
    <s v="Unknown"/>
    <s v="Unknown"/>
    <s v="5 billion "/>
    <s v="Unilever, Procter &amp; Gamble, Henkel"/>
    <n v="0"/>
    <n v="0"/>
    <n v="52000"/>
    <n v="113000"/>
    <n v="82500"/>
    <x v="9"/>
    <n v="8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45"/>
    <s v="Senior Data Scientist"/>
    <n v="4.3"/>
    <s v="Equity Residential"/>
    <s v="Chicago | IL"/>
    <s v="Chicago | IL"/>
    <s v="1001 - 5000"/>
    <n v="1993"/>
    <x v="3"/>
    <s v="Unknown"/>
    <s v="Unknown"/>
    <s v="5 billion "/>
    <s v="UDR, AvalonBay Communities, Essex Property Trust"/>
    <n v="0"/>
    <n v="0"/>
    <n v="110000"/>
    <n v="150000"/>
    <n v="130000"/>
    <x v="11"/>
    <n v="30"/>
    <n v="1"/>
    <n v="1"/>
    <n v="0"/>
    <n v="1"/>
    <n v="1"/>
    <n v="0"/>
    <n v="0"/>
    <n v="0"/>
    <n v="1"/>
    <n v="0"/>
    <n v="1"/>
    <n v="1"/>
    <n v="1"/>
    <n v="0"/>
    <n v="0"/>
    <n v="0"/>
    <x v="0"/>
    <s v="Senior "/>
    <s v="Masters"/>
  </r>
  <r>
    <n v="46"/>
    <s v="Data Scientist"/>
    <n v="5"/>
    <s v="BPA Services"/>
    <s v="Washington | DC"/>
    <s v="Alexandria | VA"/>
    <n v="500"/>
    <s v="Unknown"/>
    <x v="0"/>
    <s v="Unknown"/>
    <s v="Unknown"/>
    <s v="Unknown / Non-Applicable"/>
    <s v="Unknown"/>
    <n v="0"/>
    <n v="1"/>
    <n v="150000"/>
    <n v="160000"/>
    <n v="155000"/>
    <x v="16"/>
    <s v="Unknown"/>
    <n v="0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47"/>
    <s v="Lead Data Scientist"/>
    <n v="3.7"/>
    <s v="Visa Inc."/>
    <s v="Bellevue | WA"/>
    <s v="Foster City | CA"/>
    <s v="10000+"/>
    <n v="1958"/>
    <x v="3"/>
    <s v="Unknown"/>
    <s v="Unknown"/>
    <s v="10 billion "/>
    <s v="American Express, Mastercard, Discover"/>
    <n v="0"/>
    <n v="0"/>
    <n v="158000"/>
    <n v="211000"/>
    <n v="184500"/>
    <x v="3"/>
    <n v="65"/>
    <n v="1"/>
    <n v="0"/>
    <n v="0"/>
    <n v="1"/>
    <n v="1"/>
    <n v="1"/>
    <n v="0"/>
    <n v="0"/>
    <n v="0"/>
    <n v="0"/>
    <n v="0"/>
    <n v="1"/>
    <n v="0"/>
    <n v="0"/>
    <n v="0"/>
    <n v="0"/>
    <x v="0"/>
    <s v="Senior "/>
    <s v="Graduates"/>
  </r>
  <r>
    <n v="48"/>
    <s v="Associate Data Analyst"/>
    <n v="3.1"/>
    <s v="Intrado"/>
    <s v="Longmont | CO"/>
    <s v="Omaha | NE"/>
    <s v="5001 - 10000"/>
    <n v="1986"/>
    <x v="0"/>
    <s v="Unknown"/>
    <s v="Unknown"/>
    <s v="5 billion "/>
    <s v="Unknown"/>
    <n v="0"/>
    <n v="0"/>
    <n v="20000"/>
    <n v="39000"/>
    <n v="29500"/>
    <x v="10"/>
    <n v="37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Masters"/>
  </r>
  <r>
    <n v="49"/>
    <s v="Spectral Scientist/Engineer"/>
    <n v="4.7"/>
    <s v="Centauri"/>
    <s v="Beavercreek | OH"/>
    <s v="Chantilly | VA"/>
    <s v="501 - 1000"/>
    <n v="1999"/>
    <x v="0"/>
    <s v="Unknown"/>
    <s v="Unknown"/>
    <s v="500 million"/>
    <s v="TASC, Vencore, Booz Allen Hamilton"/>
    <n v="0"/>
    <n v="0"/>
    <n v="56000"/>
    <n v="117000"/>
    <n v="86500"/>
    <x v="17"/>
    <n v="24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50"/>
    <s v="College Hire - Data Scientist - Open to December 2019 Graduates"/>
    <n v="3.7"/>
    <s v="Caterpillar"/>
    <s v="Peoria | IL"/>
    <s v="Deerfield | IL"/>
    <s v="10000+"/>
    <n v="1925"/>
    <x v="3"/>
    <s v="Unknown"/>
    <s v="Unknown"/>
    <s v="10 billion "/>
    <s v="John Deere, Komatsu, CNH Industrial"/>
    <n v="0"/>
    <n v="0"/>
    <n v="63000"/>
    <n v="99000"/>
    <n v="81000"/>
    <x v="11"/>
    <n v="98"/>
    <n v="0"/>
    <n v="0"/>
    <n v="0"/>
    <n v="0"/>
    <n v="0"/>
    <n v="0"/>
    <n v="0"/>
    <n v="0"/>
    <n v="0"/>
    <n v="0"/>
    <n v="0"/>
    <n v="1"/>
    <n v="0"/>
    <n v="0"/>
    <n v="0"/>
    <n v="0"/>
    <x v="0"/>
    <s v="intermediate"/>
    <s v="Graduates"/>
  </r>
  <r>
    <n v="51"/>
    <s v="Data Scientist"/>
    <n v="3.8"/>
    <s v="Zimmerman Advertising"/>
    <s v="Fort | FL"/>
    <s v="Fort Lauderdale | FL"/>
    <s v="501 - 1000"/>
    <n v="1984"/>
    <x v="5"/>
    <s v="Unknown"/>
    <s v="Unknown"/>
    <s v="Unknown / Non-Applicable"/>
    <s v="Unknown"/>
    <n v="0"/>
    <n v="0"/>
    <n v="68000"/>
    <n v="114000"/>
    <n v="91000"/>
    <x v="2"/>
    <n v="39"/>
    <n v="1"/>
    <n v="0"/>
    <n v="0"/>
    <n v="1"/>
    <n v="1"/>
    <n v="0"/>
    <n v="0"/>
    <n v="0"/>
    <n v="0"/>
    <n v="0"/>
    <n v="1"/>
    <n v="1"/>
    <n v="0"/>
    <n v="0"/>
    <n v="0"/>
    <n v="0"/>
    <x v="0"/>
    <s v="intermediate"/>
    <s v="Graduates"/>
  </r>
  <r>
    <n v="52"/>
    <s v="Data Scientist, Office of Data Science"/>
    <n v="3.3"/>
    <s v="Liberty Mutual Insurance"/>
    <s v="Boston | MA"/>
    <s v="Boston | MA"/>
    <s v="10000+"/>
    <n v="1912"/>
    <x v="0"/>
    <s v="Insurance Carriers"/>
    <s v="Insurance"/>
    <s v="10 billion "/>
    <s v="Travelers, Allstate, State Farm"/>
    <n v="0"/>
    <n v="0"/>
    <n v="86000"/>
    <n v="143000"/>
    <n v="114500"/>
    <x v="8"/>
    <n v="111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53"/>
    <s v="Data Science Analyst"/>
    <n v="4.5999999999999996"/>
    <s v="Torch Technologies, Inc."/>
    <s v="Huntsville | AL"/>
    <s v="Huntsville | AL"/>
    <s v="1001 - 5000"/>
    <n v="2002"/>
    <x v="0"/>
    <s v="Aerospace &amp; Defense"/>
    <s v="Aerospace &amp; Defense"/>
    <s v="500 million"/>
    <s v="Unknown"/>
    <n v="0"/>
    <n v="0"/>
    <n v="41000"/>
    <n v="95000"/>
    <n v="68000"/>
    <x v="18"/>
    <n v="21"/>
    <n v="1"/>
    <n v="0"/>
    <n v="0"/>
    <n v="1"/>
    <n v="0"/>
    <n v="0"/>
    <n v="0"/>
    <n v="0"/>
    <n v="0"/>
    <n v="0"/>
    <n v="0"/>
    <n v="1"/>
    <n v="0"/>
    <n v="0"/>
    <n v="0"/>
    <n v="0"/>
    <x v="0"/>
    <s v="intermediate"/>
    <s v="Graduates"/>
  </r>
  <r>
    <n v="54"/>
    <s v="Data Scientist"/>
    <n v="3.7"/>
    <s v="Swiss Re"/>
    <s v="Armonk | NY"/>
    <s v="Zurich | Switzerland"/>
    <s v="10000+"/>
    <n v="1863"/>
    <x v="3"/>
    <s v="Insurance Agencies &amp; Brokerages"/>
    <s v="Insurance"/>
    <s v="10 billion "/>
    <s v="Munich Re, Hannover RE, SCOR"/>
    <n v="0"/>
    <n v="0"/>
    <n v="86000"/>
    <n v="144000"/>
    <n v="115000"/>
    <x v="4"/>
    <n v="160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Masters"/>
  </r>
  <r>
    <n v="55"/>
    <s v="Data Scientist"/>
    <n v="3.7"/>
    <s v="Northrop Grumman"/>
    <s v="San | CA"/>
    <s v="Falls Church | VA"/>
    <s v="10000+"/>
    <n v="1939"/>
    <x v="3"/>
    <s v="Aerospace &amp; Defense"/>
    <s v="Aerospace &amp; Defense"/>
    <s v="10 billion "/>
    <s v="Unknown"/>
    <n v="0"/>
    <n v="0"/>
    <n v="80000"/>
    <n v="139000"/>
    <n v="109500"/>
    <x v="6"/>
    <n v="84"/>
    <n v="0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Graduates"/>
  </r>
  <r>
    <n v="56"/>
    <s v="Data Scientist"/>
    <n v="3.5"/>
    <s v="Sartorius"/>
    <s v="Albuquerque | NM"/>
    <s v="Gottingen | Germany"/>
    <s v="5001 - 10000"/>
    <n v="1870"/>
    <x v="3"/>
    <s v="Biotech &amp; Pharmaceuticals"/>
    <s v="Biotech &amp; Pharmaceuticals"/>
    <s v="2 billion "/>
    <s v="Unknown"/>
    <n v="0"/>
    <n v="0"/>
    <n v="56000"/>
    <n v="95000"/>
    <n v="75500"/>
    <x v="0"/>
    <n v="153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57"/>
    <s v="Data Scientist"/>
    <n v="4.0999999999999996"/>
    <s v="Netskope"/>
    <s v="San | CA"/>
    <s v="Santa Clara | CA"/>
    <s v="501 - 1000"/>
    <n v="2012"/>
    <x v="0"/>
    <s v="Enterprise Software &amp; Network Solutions"/>
    <s v="Information Technology"/>
    <s v="Unknown / Non-Applicable"/>
    <s v="Skyhigh Networks, Zscaler, NortonLifeLock"/>
    <n v="0"/>
    <n v="0"/>
    <n v="120000"/>
    <n v="189000"/>
    <n v="154500"/>
    <x v="6"/>
    <n v="11"/>
    <n v="1"/>
    <n v="1"/>
    <n v="0"/>
    <n v="1"/>
    <n v="0"/>
    <n v="0"/>
    <n v="0"/>
    <n v="0"/>
    <n v="0"/>
    <n v="1"/>
    <n v="0"/>
    <n v="0"/>
    <n v="0"/>
    <n v="1"/>
    <n v="0"/>
    <n v="0"/>
    <x v="0"/>
    <s v="intermediate"/>
    <s v="Post Graduates"/>
  </r>
  <r>
    <n v="58"/>
    <s v="Data Scientist"/>
    <n v="4.7"/>
    <s v="1904labs"/>
    <s v="Saint | MO"/>
    <s v="Saint Louis | MO"/>
    <s v="51 - 200"/>
    <n v="2016"/>
    <x v="0"/>
    <s v="IT Services"/>
    <s v="Information Technology"/>
    <s v="Unknown / Non-Applicable"/>
    <s v="Slalom, Daugherty Business Solutions"/>
    <n v="0"/>
    <n v="0"/>
    <n v="111000"/>
    <n v="176000"/>
    <n v="143500"/>
    <x v="19"/>
    <n v="7"/>
    <n v="1"/>
    <n v="1"/>
    <n v="0"/>
    <n v="0"/>
    <n v="1"/>
    <n v="0"/>
    <n v="1"/>
    <n v="0"/>
    <n v="1"/>
    <n v="1"/>
    <n v="0"/>
    <n v="0"/>
    <n v="0"/>
    <n v="0"/>
    <n v="0"/>
    <n v="0"/>
    <x v="0"/>
    <s v="intermediate"/>
    <s v="Graduates"/>
  </r>
  <r>
    <n v="59"/>
    <s v="Data Scientist"/>
    <n v="4.0999999999999996"/>
    <s v="ClearOne Advantage"/>
    <s v="Baltimore | MD"/>
    <s v="Baltimore | MD"/>
    <s v="501 - 1000"/>
    <n v="2008"/>
    <x v="0"/>
    <s v="Banks &amp; Credit Unions"/>
    <s v="Finance"/>
    <s v="Unknown / Non-Applicable"/>
    <s v="Unknown"/>
    <n v="0"/>
    <n v="0"/>
    <n v="54000"/>
    <n v="93000"/>
    <n v="73500"/>
    <x v="1"/>
    <n v="15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60"/>
    <s v="Data Scientist"/>
    <n v="3.4"/>
    <s v="CyrusOne"/>
    <s v="Dallas | TX"/>
    <s v="Dallas | TX"/>
    <s v="201 - 500"/>
    <n v="2000"/>
    <x v="3"/>
    <s v="Real Estate"/>
    <s v="Real Estate"/>
    <s v="2 billion "/>
    <s v="Digital Realty, CoreSite, Equinix"/>
    <n v="0"/>
    <n v="0"/>
    <n v="71000"/>
    <n v="119000"/>
    <n v="95000"/>
    <x v="5"/>
    <n v="23"/>
    <n v="1"/>
    <n v="0"/>
    <n v="1"/>
    <n v="1"/>
    <n v="1"/>
    <n v="0"/>
    <n v="0"/>
    <n v="0"/>
    <n v="0"/>
    <n v="0"/>
    <n v="0"/>
    <n v="0"/>
    <n v="1"/>
    <n v="0"/>
    <n v="1"/>
    <n v="0"/>
    <x v="0"/>
    <s v="intermediate"/>
    <s v="Graduates"/>
  </r>
  <r>
    <n v="61"/>
    <s v="Senior Data Scientist"/>
    <n v="4.4000000000000004"/>
    <s v="The David J. Joseph Company"/>
    <s v="Cincinnati | OH"/>
    <s v="Cincinnati | OH"/>
    <s v="201 - 500"/>
    <n v="1885"/>
    <x v="5"/>
    <s v="Metals Brokers"/>
    <s v="Mining &amp; Metals"/>
    <s v="Unknown / Non-Applicable"/>
    <s v="Unknown"/>
    <n v="0"/>
    <n v="0"/>
    <n v="82000"/>
    <n v="132000"/>
    <n v="107000"/>
    <x v="17"/>
    <n v="138"/>
    <n v="1"/>
    <n v="0"/>
    <n v="1"/>
    <n v="0"/>
    <n v="1"/>
    <n v="0"/>
    <n v="0"/>
    <n v="0"/>
    <n v="0"/>
    <n v="0"/>
    <n v="0"/>
    <n v="1"/>
    <n v="1"/>
    <n v="0"/>
    <n v="0"/>
    <n v="0"/>
    <x v="0"/>
    <s v="Senior "/>
    <s v="Masters"/>
  </r>
  <r>
    <n v="62"/>
    <s v="Data Scientist"/>
    <n v="4.3"/>
    <s v="USEReady"/>
    <s v="New | NY"/>
    <s v="New York | NY"/>
    <s v="201 - 500"/>
    <n v="2011"/>
    <x v="0"/>
    <s v="Consulting"/>
    <s v="Business Services"/>
    <s v="25 million"/>
    <s v="Unknown"/>
    <n v="0"/>
    <n v="0"/>
    <n v="84000"/>
    <n v="146000"/>
    <n v="115000"/>
    <x v="4"/>
    <n v="12"/>
    <n v="1"/>
    <n v="1"/>
    <n v="1"/>
    <n v="0"/>
    <n v="1"/>
    <n v="0"/>
    <n v="0"/>
    <n v="0"/>
    <n v="0"/>
    <n v="0"/>
    <n v="1"/>
    <n v="1"/>
    <n v="0"/>
    <n v="0"/>
    <n v="0"/>
    <n v="0"/>
    <x v="0"/>
    <s v="intermediate"/>
    <s v="Graduates"/>
  </r>
  <r>
    <n v="63"/>
    <s v="Senior Risk Data Scientist"/>
    <n v="3.8"/>
    <s v="Bill.com"/>
    <s v="Palo | CA"/>
    <s v="Palo Alto | CA"/>
    <s v="501 - 1000"/>
    <n v="2006"/>
    <x v="3"/>
    <s v="Financial Transaction Processing"/>
    <s v="Finance"/>
    <s v="100 million "/>
    <s v="Unknown"/>
    <n v="0"/>
    <n v="0"/>
    <n v="107000"/>
    <n v="172000"/>
    <n v="139500"/>
    <x v="6"/>
    <n v="17"/>
    <n v="0"/>
    <n v="0"/>
    <n v="0"/>
    <n v="0"/>
    <n v="1"/>
    <n v="1"/>
    <n v="0"/>
    <n v="0"/>
    <n v="0"/>
    <n v="0"/>
    <n v="0"/>
    <n v="0"/>
    <n v="0"/>
    <n v="0"/>
    <n v="0"/>
    <n v="0"/>
    <x v="0"/>
    <s v="Senior "/>
    <s v="Masters"/>
  </r>
  <r>
    <n v="64"/>
    <s v="Data Scientist in Artificial Intelligence Early Career"/>
    <n v="3.8"/>
    <s v="Pacific Northwest National Laboratory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49000"/>
    <n v="85000"/>
    <n v="670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intermediate"/>
    <s v="Masters"/>
  </r>
  <r>
    <n v="65"/>
    <s v="Data Scientist"/>
    <n v="3.8"/>
    <s v="DICK'S Sporting Goods - Corporate"/>
    <s v="Coraopolis | PA"/>
    <s v="Coraopolis | PA"/>
    <s v="10000+"/>
    <n v="1948"/>
    <x v="3"/>
    <s v="Sporting Goods Stores"/>
    <s v="Retail"/>
    <s v="10 billion"/>
    <s v="REI, Academy Sports + Outdoors, Cabela's"/>
    <n v="0"/>
    <n v="0"/>
    <n v="61000"/>
    <n v="109000"/>
    <n v="85000"/>
    <x v="20"/>
    <n v="75"/>
    <n v="1"/>
    <n v="0"/>
    <n v="0"/>
    <n v="0"/>
    <n v="1"/>
    <n v="0"/>
    <n v="0"/>
    <n v="1"/>
    <n v="0"/>
    <n v="1"/>
    <n v="0"/>
    <n v="0"/>
    <n v="0"/>
    <n v="0"/>
    <n v="0"/>
    <n v="0"/>
    <x v="0"/>
    <s v="intermediate"/>
    <s v="Masters"/>
  </r>
  <r>
    <n v="66"/>
    <s v="Data Scientist"/>
    <n v="2.8"/>
    <s v="Berg Health"/>
    <s v="Framingham | MA"/>
    <s v="Framingham | MA"/>
    <s v="51 - 200"/>
    <n v="2006"/>
    <x v="0"/>
    <s v="Biotech &amp; Pharmaceuticals"/>
    <s v="Biotech &amp; Pharmaceuticals"/>
    <s v="5 million"/>
    <s v="Unknown"/>
    <n v="0"/>
    <n v="0"/>
    <n v="88000"/>
    <n v="148000"/>
    <n v="118000"/>
    <x v="8"/>
    <n v="17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Post Graduates"/>
  </r>
  <r>
    <n v="67"/>
    <s v="Data Scientist"/>
    <n v="4.7"/>
    <s v="Oversight Systems"/>
    <s v="Atlanta | GA"/>
    <s v="Atlanta | GA"/>
    <s v="51 - 200"/>
    <n v="2003"/>
    <x v="0"/>
    <s v="Computer Hardware &amp; Software"/>
    <s v="Information Technology"/>
    <s v="50 million "/>
    <s v="Unknown"/>
    <n v="0"/>
    <n v="0"/>
    <n v="60000"/>
    <n v="99000"/>
    <n v="79500"/>
    <x v="21"/>
    <n v="20"/>
    <n v="1"/>
    <n v="0"/>
    <n v="0"/>
    <n v="1"/>
    <n v="1"/>
    <n v="0"/>
    <n v="1"/>
    <n v="1"/>
    <n v="1"/>
    <n v="0"/>
    <n v="0"/>
    <n v="0"/>
    <n v="0"/>
    <n v="0"/>
    <n v="0"/>
    <n v="0"/>
    <x v="0"/>
    <s v="intermediate"/>
    <s v="Graduates"/>
  </r>
  <r>
    <n v="68"/>
    <s v="Data Scientist - Research"/>
    <n v="3.1"/>
    <s v="C Space"/>
    <s v="Boston | MA"/>
    <s v="Boston | MA"/>
    <s v="201 - 500"/>
    <n v="1999"/>
    <x v="3"/>
    <s v="Advertising &amp; Marketing"/>
    <s v="Business Services"/>
    <s v="500 million"/>
    <s v="IDEO, Gongos, Inc., Ipsos"/>
    <n v="0"/>
    <n v="0"/>
    <n v="41000"/>
    <n v="72000"/>
    <n v="56500"/>
    <x v="8"/>
    <n v="24"/>
    <n v="1"/>
    <n v="0"/>
    <n v="0"/>
    <n v="0"/>
    <n v="1"/>
    <n v="0"/>
    <n v="0"/>
    <n v="0"/>
    <n v="0"/>
    <n v="0"/>
    <n v="0"/>
    <n v="1"/>
    <n v="0"/>
    <n v="0"/>
    <n v="0"/>
    <n v="0"/>
    <x v="0"/>
    <s v="intermediate"/>
    <s v="Graduates"/>
  </r>
  <r>
    <n v="69"/>
    <s v="Data Scientist"/>
    <n v="3.2"/>
    <s v="Numeric, LLC"/>
    <s v="Philadelphia | PA"/>
    <s v="Chadds Ford | PA"/>
    <n v="500"/>
    <s v="Unknown"/>
    <x v="0"/>
    <s v="Staffing &amp; Outsourcing"/>
    <s v="Business Services"/>
    <s v="10 million "/>
    <s v="Unknown"/>
    <n v="0"/>
    <n v="0"/>
    <n v="96000"/>
    <n v="161000"/>
    <n v="128500"/>
    <x v="20"/>
    <s v="Unknown"/>
    <n v="1"/>
    <n v="1"/>
    <n v="1"/>
    <n v="0"/>
    <n v="1"/>
    <n v="0"/>
    <n v="0"/>
    <n v="0"/>
    <n v="0"/>
    <n v="0"/>
    <n v="1"/>
    <n v="0"/>
    <n v="0"/>
    <n v="0"/>
    <n v="0"/>
    <n v="0"/>
    <x v="0"/>
    <s v="intermediate"/>
    <s v="Graduates"/>
  </r>
  <r>
    <n v="70"/>
    <s v="R&amp;D Data Analysis Scientist"/>
    <n v="4"/>
    <s v="HP Inc."/>
    <s v="Vancouver | WA"/>
    <s v="Palo Alto | CA"/>
    <s v="10000+"/>
    <n v="1939"/>
    <x v="3"/>
    <s v="Computer Hardware &amp; Software"/>
    <s v="Information Technology"/>
    <s v="Unknown / Non-Applicable"/>
    <s v="Unknown"/>
    <n v="0"/>
    <n v="0"/>
    <n v="65000"/>
    <n v="130000"/>
    <n v="97500"/>
    <x v="3"/>
    <n v="84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71"/>
    <s v="Analytics Consultant"/>
    <n v="4.4000000000000004"/>
    <s v="SpringML"/>
    <s v="Indianapolis | IN"/>
    <s v="Pleasanton | CA"/>
    <n v="500"/>
    <n v="2015"/>
    <x v="0"/>
    <s v="Enterprise Software &amp; Network Solutions"/>
    <s v="Information Technology"/>
    <s v="Unknown / Non-Applicable"/>
    <s v="Unknown"/>
    <n v="0"/>
    <n v="0"/>
    <n v="52000"/>
    <n v="81000"/>
    <n v="66500"/>
    <x v="22"/>
    <n v="8"/>
    <n v="1"/>
    <n v="0"/>
    <n v="0"/>
    <n v="0"/>
    <n v="0"/>
    <n v="0"/>
    <n v="0"/>
    <n v="0"/>
    <n v="0"/>
    <n v="0"/>
    <n v="0"/>
    <n v="1"/>
    <n v="0"/>
    <n v="0"/>
    <n v="0"/>
    <n v="0"/>
    <x v="4"/>
    <s v="intermediate"/>
    <s v="Graduates"/>
  </r>
  <r>
    <n v="72"/>
    <s v="Director, Data Science"/>
    <n v="3.6"/>
    <s v="Grainger"/>
    <s v="Lake | IL"/>
    <s v="Lake Forest | IL"/>
    <s v="10000+"/>
    <n v="1927"/>
    <x v="3"/>
    <s v="Wholesale"/>
    <s v="Business Services"/>
    <s v="10 billion "/>
    <s v="Unknown"/>
    <n v="0"/>
    <n v="0"/>
    <n v="139000"/>
    <n v="220000"/>
    <n v="179500"/>
    <x v="11"/>
    <n v="96"/>
    <n v="1"/>
    <n v="0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73"/>
    <s v="Scientist"/>
    <n v="2.7"/>
    <s v="EAG Laboratories"/>
    <s v="Maryland | MO"/>
    <s v="San Diego | CA"/>
    <s v="501 - 1000"/>
    <n v="1978"/>
    <x v="5"/>
    <s v="Research &amp; Development"/>
    <s v="Business Services"/>
    <s v="100 million "/>
    <s v="Unknown"/>
    <n v="0"/>
    <n v="0"/>
    <n v="50000"/>
    <n v="102000"/>
    <n v="76000"/>
    <x v="19"/>
    <n v="45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74"/>
    <s v="Data Scientist SR"/>
    <n v="3.9"/>
    <s v="The Buffalo Group"/>
    <s v="Charlottesville | VA"/>
    <s v="Reston | VA"/>
    <s v="501 - 1000"/>
    <n v="2010"/>
    <x v="0"/>
    <s v="IT Services"/>
    <s v="Information Technology"/>
    <s v="500 million"/>
    <s v="ManTech, Booz Allen Hamilton, Leidos"/>
    <n v="0"/>
    <n v="0"/>
    <n v="85000"/>
    <n v="139000"/>
    <n v="112000"/>
    <x v="7"/>
    <n v="13"/>
    <n v="1"/>
    <n v="1"/>
    <n v="0"/>
    <n v="0"/>
    <n v="1"/>
    <n v="0"/>
    <n v="0"/>
    <n v="0"/>
    <n v="0"/>
    <n v="0"/>
    <n v="1"/>
    <n v="0"/>
    <n v="0"/>
    <n v="0"/>
    <n v="0"/>
    <n v="0"/>
    <x v="0"/>
    <s v="Senior "/>
    <s v="Masters"/>
  </r>
  <r>
    <n v="75"/>
    <s v="Data Scientist"/>
    <n v="3.1"/>
    <s v="Carmeuse"/>
    <s v="Pittsburgh | PA"/>
    <s v="Louvain-la-Neuve | Belgium"/>
    <s v="1001 - 5000"/>
    <n v="1860"/>
    <x v="0"/>
    <s v="Mining"/>
    <s v="Mining &amp; Metals"/>
    <s v="2 billion "/>
    <s v="Lhoist, Graymont, Sibelco Group"/>
    <n v="0"/>
    <n v="0"/>
    <n v="74000"/>
    <n v="122000"/>
    <n v="98000"/>
    <x v="20"/>
    <n v="163"/>
    <n v="1"/>
    <n v="0"/>
    <n v="0"/>
    <n v="0"/>
    <n v="0"/>
    <n v="0"/>
    <n v="0"/>
    <n v="0"/>
    <n v="0"/>
    <n v="1"/>
    <n v="0"/>
    <n v="0"/>
    <n v="0"/>
    <n v="0"/>
    <n v="0"/>
    <n v="0"/>
    <x v="0"/>
    <s v="intermediate"/>
    <s v="Masters"/>
  </r>
  <r>
    <n v="76"/>
    <s v="R&amp;D Sr Data Scientist"/>
    <n v="4"/>
    <s v="HP Inc."/>
    <s v="Vancouver | WA"/>
    <s v="Palo Alto | CA"/>
    <s v="10000+"/>
    <n v="1939"/>
    <x v="3"/>
    <s v="Computer Hardware &amp; Software"/>
    <s v="Information Technology"/>
    <s v="Unknown / Non-Applicable"/>
    <s v="Unknown"/>
    <n v="0"/>
    <n v="0"/>
    <n v="99000"/>
    <n v="157000"/>
    <n v="128000"/>
    <x v="3"/>
    <n v="84"/>
    <n v="0"/>
    <n v="1"/>
    <n v="1"/>
    <n v="0"/>
    <n v="1"/>
    <n v="0"/>
    <n v="0"/>
    <n v="0"/>
    <n v="1"/>
    <n v="1"/>
    <n v="0"/>
    <n v="0"/>
    <n v="0"/>
    <n v="0"/>
    <n v="0"/>
    <n v="0"/>
    <x v="0"/>
    <s v="Senior "/>
    <s v="Masters"/>
  </r>
  <r>
    <n v="77"/>
    <s v="Customer Data Scientist/Sales Engineer (Bay"/>
    <n v="4.3"/>
    <s v="h2o.ai"/>
    <s v="Mountain | CA"/>
    <s v="Mountain View | CA"/>
    <s v="201 - 500"/>
    <n v="2011"/>
    <x v="0"/>
    <s v="Enterprise Software &amp; Network Solutions"/>
    <s v="Information Technology"/>
    <s v="Unknown / Non-Applicable"/>
    <s v="Unknown"/>
    <n v="0"/>
    <n v="0"/>
    <n v="79000"/>
    <n v="222000"/>
    <n v="150500"/>
    <x v="6"/>
    <n v="12"/>
    <n v="1"/>
    <n v="1"/>
    <n v="1"/>
    <n v="1"/>
    <n v="0"/>
    <n v="0"/>
    <n v="1"/>
    <n v="0"/>
    <n v="1"/>
    <n v="1"/>
    <n v="1"/>
    <n v="0"/>
    <n v="0"/>
    <n v="0"/>
    <n v="0"/>
    <n v="0"/>
    <x v="0"/>
    <s v="intermediate"/>
    <s v="Post Graduates"/>
  </r>
  <r>
    <n v="78"/>
    <s v="Research Scientist"/>
    <n v="1.9"/>
    <s v="GNS Healthcare"/>
    <s v="Cambridge | MA"/>
    <s v="Cambridge | MA"/>
    <s v="51 - 200"/>
    <n v="2000"/>
    <x v="0"/>
    <s v="Biotech &amp; Pharmaceuticals"/>
    <s v="Biotech &amp; Pharmaceuticals"/>
    <s v="25 million"/>
    <s v="Unknown"/>
    <n v="0"/>
    <n v="0"/>
    <n v="57000"/>
    <n v="118000"/>
    <n v="87500"/>
    <x v="8"/>
    <n v="23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79"/>
    <s v="Data Scientist"/>
    <n v="3.3"/>
    <s v="Peraton"/>
    <s v="Chantilly | VA"/>
    <s v="Herndon | VA"/>
    <s v="1001 - 5000"/>
    <n v="2017"/>
    <x v="0"/>
    <s v="Aerospace &amp; Defense"/>
    <s v="Aerospace &amp; Defense"/>
    <s v="2 billion "/>
    <s v="Unknown"/>
    <n v="0"/>
    <n v="0"/>
    <n v="83000"/>
    <n v="137000"/>
    <n v="110000"/>
    <x v="7"/>
    <n v="6"/>
    <n v="1"/>
    <n v="0"/>
    <n v="0"/>
    <n v="1"/>
    <n v="0"/>
    <n v="0"/>
    <n v="0"/>
    <n v="0"/>
    <n v="1"/>
    <n v="0"/>
    <n v="1"/>
    <n v="0"/>
    <n v="0"/>
    <n v="0"/>
    <n v="0"/>
    <n v="0"/>
    <x v="0"/>
    <s v="intermediate"/>
    <s v="Graduates"/>
  </r>
  <r>
    <n v="80"/>
    <s v="Data Scientist"/>
    <n v="4.4000000000000004"/>
    <s v="Pactera"/>
    <s v="San | CA"/>
    <s v="Beijing | China"/>
    <s v="10000+"/>
    <n v="1995"/>
    <x v="0"/>
    <s v="IT Services"/>
    <s v="Information Technology"/>
    <s v="750 million"/>
    <s v="Infosys, EPAM, Accenture"/>
    <n v="0"/>
    <n v="0"/>
    <n v="86000"/>
    <n v="141000"/>
    <n v="113500"/>
    <x v="6"/>
    <n v="28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81"/>
    <s v="Data Scientist"/>
    <n v="3.9"/>
    <s v="Nurx"/>
    <s v="San | CA"/>
    <s v="San Francisco | CA"/>
    <s v="51 - 200"/>
    <n v="2016"/>
    <x v="0"/>
    <s v="Health Care Services &amp; Hospitals"/>
    <s v="Health Care"/>
    <s v="5 million"/>
    <s v="Unknown"/>
    <n v="0"/>
    <n v="0"/>
    <n v="94000"/>
    <n v="154000"/>
    <n v="124000"/>
    <x v="6"/>
    <n v="7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82"/>
    <s v="Jr. Business Data Analyst"/>
    <n v="4.7"/>
    <s v="webfx.com"/>
    <s v="Harrisburg | PA"/>
    <s v="Harrisburg | PA"/>
    <s v="201 - 500"/>
    <n v="1997"/>
    <x v="0"/>
    <s v="Advertising &amp; Marketing"/>
    <s v="Business Services"/>
    <s v="50 million "/>
    <s v="Unknown"/>
    <n v="0"/>
    <n v="0"/>
    <n v="37000"/>
    <n v="76000"/>
    <n v="56500"/>
    <x v="20"/>
    <n v="26"/>
    <n v="0"/>
    <n v="0"/>
    <n v="0"/>
    <n v="1"/>
    <n v="0"/>
    <n v="0"/>
    <n v="0"/>
    <n v="0"/>
    <n v="0"/>
    <n v="0"/>
    <n v="0"/>
    <n v="0"/>
    <n v="0"/>
    <n v="0"/>
    <n v="0"/>
    <n v="1"/>
    <x v="2"/>
    <s v="Junior"/>
    <s v="Graduates"/>
  </r>
  <r>
    <n v="83"/>
    <s v="Data Scientist"/>
    <n v="4.5"/>
    <s v="Johns Hopkins University Applied Physics Laboratory"/>
    <s v="Laurel | MD"/>
    <s v="Laurel | MD"/>
    <s v="5001 - 10000"/>
    <n v="1942"/>
    <x v="6"/>
    <s v="Aerospace &amp; Defense"/>
    <s v="Aerospace &amp; Defense"/>
    <s v="2 billion "/>
    <s v="MIT Lincoln Laboratory, Lockheed Martin, Northrop Grumman"/>
    <n v="0"/>
    <n v="0"/>
    <n v="100000"/>
    <n v="160000"/>
    <n v="130000"/>
    <x v="1"/>
    <n v="81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84"/>
    <s v="Data Analyst"/>
    <n v="4.3"/>
    <s v="Productive Edge"/>
    <s v="Chicago | IL"/>
    <s v="Chicago | IL"/>
    <s v="51 - 200"/>
    <n v="2008"/>
    <x v="0"/>
    <s v="Computer Hardware &amp; Software"/>
    <s v="Information Technology"/>
    <s v="25 million"/>
    <s v="Numerator, Rise Interactive, Salom"/>
    <n v="0"/>
    <n v="0"/>
    <n v="55000"/>
    <n v="100000"/>
    <n v="77500"/>
    <x v="11"/>
    <n v="15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85"/>
    <s v="Data Engineer"/>
    <n v="4"/>
    <s v="Excella Consulting"/>
    <s v="Arlington | VA"/>
    <s v="Arlington | VA"/>
    <s v="201 - 500"/>
    <n v="2002"/>
    <x v="0"/>
    <s v="Consulting"/>
    <s v="Business Services"/>
    <s v="100 million "/>
    <s v="Unknown"/>
    <n v="0"/>
    <n v="0"/>
    <n v="60000"/>
    <n v="114000"/>
    <n v="87000"/>
    <x v="7"/>
    <n v="21"/>
    <n v="1"/>
    <n v="0"/>
    <n v="1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86"/>
    <s v="Data Analyst"/>
    <n v="4.4000000000000004"/>
    <s v="Gensco"/>
    <s v="Tacoma | WA"/>
    <s v="Tacoma | WA"/>
    <s v="501 - 1000"/>
    <n v="1948"/>
    <x v="0"/>
    <s v="Wholesale"/>
    <s v="Business Services"/>
    <s v="500 million"/>
    <s v="Unknown"/>
    <n v="0"/>
    <n v="0"/>
    <n v="39000"/>
    <n v="68000"/>
    <n v="53500"/>
    <x v="3"/>
    <n v="75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87"/>
    <s v="Staff Data Scientist - Technology"/>
    <n v="3.2"/>
    <s v="Walmart"/>
    <s v="Plano | TX"/>
    <s v="Bentonville | AR"/>
    <s v="10000+"/>
    <n v="1962"/>
    <x v="3"/>
    <s v="Department, Clothing, &amp; Shoe Stores"/>
    <s v="Retail"/>
    <s v="10 billion "/>
    <s v="Target, Costco Wholesale, Amazon"/>
    <n v="0"/>
    <n v="0"/>
    <n v="106000"/>
    <n v="172000"/>
    <n v="139000"/>
    <x v="5"/>
    <n v="61"/>
    <n v="0"/>
    <n v="0"/>
    <n v="0"/>
    <n v="0"/>
    <n v="1"/>
    <n v="0"/>
    <n v="0"/>
    <n v="0"/>
    <n v="0"/>
    <n v="0"/>
    <n v="1"/>
    <n v="0"/>
    <n v="0"/>
    <n v="0"/>
    <n v="0"/>
    <n v="0"/>
    <x v="0"/>
    <s v="intermediate"/>
    <s v="Masters"/>
  </r>
  <r>
    <n v="88"/>
    <s v="Data Scientist"/>
    <n v="3.8"/>
    <s v="Logic20/20"/>
    <s v="San | CA"/>
    <s v="Seattle | WA"/>
    <s v="201 - 500"/>
    <n v="2005"/>
    <x v="0"/>
    <s v="Consulting"/>
    <s v="Business Services"/>
    <s v="50 million "/>
    <s v="Unknown"/>
    <n v="0"/>
    <n v="0"/>
    <n v="86000"/>
    <n v="142000"/>
    <n v="114000"/>
    <x v="6"/>
    <n v="18"/>
    <n v="1"/>
    <n v="1"/>
    <n v="1"/>
    <n v="1"/>
    <n v="1"/>
    <n v="0"/>
    <n v="0"/>
    <n v="1"/>
    <n v="0"/>
    <n v="1"/>
    <n v="0"/>
    <n v="0"/>
    <n v="0"/>
    <n v="0"/>
    <n v="0"/>
    <n v="0"/>
    <x v="0"/>
    <s v="intermediate"/>
    <s v="Masters"/>
  </r>
  <r>
    <n v="89"/>
    <s v="Data Scientist"/>
    <n v="4.2"/>
    <s v="goTRG"/>
    <s v="Miami | FL"/>
    <s v="Miami | FL"/>
    <s v="501 - 1000"/>
    <n v="2008"/>
    <x v="0"/>
    <s v="Enterprise Software &amp; Network Solutions"/>
    <s v="Information Technology"/>
    <s v="500 million"/>
    <s v="Unknown"/>
    <n v="0"/>
    <n v="0"/>
    <n v="64000"/>
    <n v="107000"/>
    <n v="85500"/>
    <x v="2"/>
    <n v="15"/>
    <n v="1"/>
    <n v="1"/>
    <n v="0"/>
    <n v="1"/>
    <n v="1"/>
    <n v="0"/>
    <n v="0"/>
    <n v="0"/>
    <n v="0"/>
    <n v="0"/>
    <n v="1"/>
    <n v="0"/>
    <n v="0"/>
    <n v="0"/>
    <n v="0"/>
    <n v="0"/>
    <x v="0"/>
    <s v="intermediate"/>
    <s v="Graduates"/>
  </r>
  <r>
    <n v="90"/>
    <s v="Data Management Specialist"/>
    <n v="4.5"/>
    <s v="NMR Consulting"/>
    <s v="Huntsville | AL"/>
    <s v="Chantilly | VA"/>
    <s v="51 - 200"/>
    <n v="1996"/>
    <x v="0"/>
    <s v="IT Services"/>
    <s v="Information Technology"/>
    <s v="50 million "/>
    <s v="Unknown"/>
    <n v="0"/>
    <n v="0"/>
    <n v="31000"/>
    <n v="65000"/>
    <n v="48000"/>
    <x v="18"/>
    <n v="27"/>
    <n v="0"/>
    <n v="0"/>
    <n v="0"/>
    <n v="1"/>
    <n v="1"/>
    <n v="0"/>
    <n v="0"/>
    <n v="0"/>
    <n v="0"/>
    <n v="0"/>
    <n v="1"/>
    <n v="0"/>
    <n v="0"/>
    <n v="0"/>
    <n v="0"/>
    <n v="0"/>
    <x v="1"/>
    <s v="intermediate"/>
    <s v="Graduates"/>
  </r>
  <r>
    <n v="91"/>
    <s v="E-Commerce Data Analyst"/>
    <n v="3.5"/>
    <s v="iSeatz"/>
    <s v="New | LA"/>
    <s v="New Orleans | LA"/>
    <s v="51 - 200"/>
    <n v="1999"/>
    <x v="0"/>
    <s v="Enterprise Software &amp; Network Solutions"/>
    <s v="Information Technology"/>
    <s v="Unknown / Non-Applicable"/>
    <s v="Unknown"/>
    <n v="0"/>
    <n v="0"/>
    <n v="34000"/>
    <n v="62000"/>
    <n v="48000"/>
    <x v="23"/>
    <n v="24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92"/>
    <s v="Sr. Scientist II"/>
    <n v="3.5"/>
    <s v="Nektar Therapeutics"/>
    <s v="San | CA"/>
    <s v="San Francisco | CA"/>
    <s v="201 - 500"/>
    <n v="1990"/>
    <x v="3"/>
    <s v="Biotech &amp; Pharmaceuticals"/>
    <s v="Biotech &amp; Pharmaceuticals"/>
    <s v="500 million"/>
    <s v="Bristol-Myers Squibb, Merck, GlaxoSmithKline"/>
    <n v="0"/>
    <n v="0"/>
    <n v="117000"/>
    <n v="231000"/>
    <n v="174000"/>
    <x v="6"/>
    <n v="33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93"/>
    <s v="Insurance Data Scientist"/>
    <n v="3.9"/>
    <s v="TransUnion"/>
    <s v="Atlanta | GA"/>
    <s v="Chicago | IL"/>
    <s v="5001 - 10000"/>
    <n v="1968"/>
    <x v="3"/>
    <s v="Financial Analytics &amp; Research"/>
    <s v="Finance"/>
    <s v="2 billion "/>
    <s v="Unknown"/>
    <n v="0"/>
    <n v="0"/>
    <n v="64000"/>
    <n v="106000"/>
    <n v="85000"/>
    <x v="21"/>
    <n v="55"/>
    <n v="1"/>
    <n v="1"/>
    <n v="0"/>
    <n v="0"/>
    <n v="1"/>
    <n v="1"/>
    <n v="0"/>
    <n v="0"/>
    <n v="0"/>
    <n v="0"/>
    <n v="0"/>
    <n v="0"/>
    <n v="0"/>
    <n v="0"/>
    <n v="0"/>
    <n v="0"/>
    <x v="0"/>
    <s v="intermediate"/>
    <s v="Graduates"/>
  </r>
  <r>
    <n v="94"/>
    <s v="Data Modeler"/>
    <n v="4.7"/>
    <s v="IT Concepts"/>
    <s v="Landover | MD"/>
    <s v="Vienna | VA"/>
    <s v="51 - 200"/>
    <n v="2003"/>
    <x v="0"/>
    <s v="IT Services"/>
    <s v="Information Technology"/>
    <s v="25 million"/>
    <s v="Unknown"/>
    <n v="0"/>
    <n v="0"/>
    <n v="79000"/>
    <n v="134000"/>
    <n v="106500"/>
    <x v="1"/>
    <n v="20"/>
    <n v="0"/>
    <n v="0"/>
    <n v="0"/>
    <n v="0"/>
    <n v="0"/>
    <n v="0"/>
    <n v="0"/>
    <n v="0"/>
    <n v="0"/>
    <n v="0"/>
    <n v="0"/>
    <n v="0"/>
    <n v="0"/>
    <n v="0"/>
    <n v="0"/>
    <n v="0"/>
    <x v="5"/>
    <s v="intermediate"/>
    <s v="Graduates"/>
  </r>
  <r>
    <n v="95"/>
    <s v="Data Analyst / Scientist"/>
    <n v="4.2"/>
    <s v="Scientific Research Corporation"/>
    <s v="Patuxent | MD"/>
    <s v="Atlanta | GA"/>
    <s v="1001 - 5000"/>
    <n v="1988"/>
    <x v="0"/>
    <s v="IT Services"/>
    <s v="Information Technology"/>
    <s v="500 million"/>
    <s v="Unknown"/>
    <n v="0"/>
    <n v="0"/>
    <n v="52000"/>
    <n v="93000"/>
    <n v="72500"/>
    <x v="1"/>
    <n v="35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96"/>
    <s v="Scientist"/>
    <n v="3.4"/>
    <s v="General Dynamics Information Technology"/>
    <s v="Suitland | MD"/>
    <s v="Fairfax | VA"/>
    <s v="10000+"/>
    <n v="1996"/>
    <x v="5"/>
    <s v="IT Services"/>
    <s v="Information Technology"/>
    <s v="10 billion "/>
    <s v="SAIC, Leidos, Northrop Grumman"/>
    <n v="0"/>
    <n v="0"/>
    <n v="55000"/>
    <n v="116000"/>
    <n v="85500"/>
    <x v="1"/>
    <n v="2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97"/>
    <s v="Data Scientist"/>
    <n v="3.2"/>
    <s v="MITRE"/>
    <s v="McLean | VA"/>
    <s v="Bedford | MA"/>
    <s v="5001 - 10000"/>
    <n v="1958"/>
    <x v="6"/>
    <s v="Federal Agencies"/>
    <s v="Government"/>
    <s v="2 billion "/>
    <s v="Battelle, General Atomics, SAIC"/>
    <n v="0"/>
    <n v="0"/>
    <n v="72000"/>
    <n v="123000"/>
    <n v="97500"/>
    <x v="7"/>
    <n v="65"/>
    <n v="1"/>
    <n v="0"/>
    <n v="0"/>
    <n v="1"/>
    <n v="1"/>
    <n v="1"/>
    <n v="0"/>
    <n v="0"/>
    <n v="0"/>
    <n v="0"/>
    <n v="0"/>
    <n v="1"/>
    <n v="1"/>
    <n v="0"/>
    <n v="1"/>
    <n v="0"/>
    <x v="0"/>
    <s v="intermediate"/>
    <s v="Graduates"/>
  </r>
  <r>
    <n v="98"/>
    <s v="Data Scientist"/>
    <n v="3.9"/>
    <s v="The Buffalo Group"/>
    <s v="Fort | VA"/>
    <s v="Reston | VA"/>
    <s v="501 - 1000"/>
    <n v="2010"/>
    <x v="0"/>
    <s v="IT Services"/>
    <s v="Information Technology"/>
    <s v="500 million"/>
    <s v="ManTech, Booz Allen Hamilton, Leidos"/>
    <n v="0"/>
    <n v="0"/>
    <n v="74000"/>
    <n v="124000"/>
    <n v="99000"/>
    <x v="7"/>
    <n v="13"/>
    <n v="1"/>
    <n v="0"/>
    <n v="0"/>
    <n v="1"/>
    <n v="0"/>
    <n v="0"/>
    <n v="0"/>
    <n v="0"/>
    <n v="0"/>
    <n v="0"/>
    <n v="0"/>
    <n v="1"/>
    <n v="0"/>
    <n v="0"/>
    <n v="0"/>
    <n v="0"/>
    <x v="0"/>
    <s v="intermediate"/>
    <s v="Graduates"/>
  </r>
  <r>
    <n v="99"/>
    <s v="Data Analyst"/>
    <n v="3.1"/>
    <s v="DentaQuest"/>
    <s v="Milwaukee | WI"/>
    <s v="Boston | MA"/>
    <s v="1001 - 5000"/>
    <n v="2001"/>
    <x v="0"/>
    <s v="Insurance Carriers"/>
    <s v="Insurance"/>
    <s v="5 billion "/>
    <s v="MCNA Dental Plans, United Concordia, Delta Dental Plans Association"/>
    <n v="0"/>
    <n v="0"/>
    <n v="40000"/>
    <n v="73000"/>
    <n v="56500"/>
    <x v="24"/>
    <n v="22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100"/>
    <s v="Lead Data Scientist"/>
    <n v="4.0999999999999996"/>
    <s v="Redjack"/>
    <s v="Silver | MD"/>
    <s v="Silver Spring | MD"/>
    <n v="500"/>
    <n v="2007"/>
    <x v="0"/>
    <s v="IT Services"/>
    <s v="Information Technology"/>
    <s v="Unknown / Non-Applicable"/>
    <s v="Unknown"/>
    <n v="0"/>
    <n v="0"/>
    <n v="102000"/>
    <n v="164000"/>
    <n v="133000"/>
    <x v="1"/>
    <n v="16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Graduates"/>
  </r>
  <r>
    <n v="101"/>
    <s v="Data Scientist"/>
    <n v="3.8"/>
    <s v="7Park Data"/>
    <s v="New | NY"/>
    <s v="New York | NY"/>
    <s v="51 - 200"/>
    <n v="2012"/>
    <x v="0"/>
    <s v="Research &amp; Development"/>
    <s v="Business Services"/>
    <s v="Unknown / Non-Applicable"/>
    <s v="Unknown"/>
    <n v="0"/>
    <n v="0"/>
    <n v="89000"/>
    <n v="153000"/>
    <n v="121000"/>
    <x v="4"/>
    <n v="11"/>
    <n v="1"/>
    <n v="1"/>
    <n v="0"/>
    <n v="0"/>
    <n v="0"/>
    <n v="0"/>
    <n v="1"/>
    <n v="1"/>
    <n v="1"/>
    <n v="1"/>
    <n v="0"/>
    <n v="0"/>
    <n v="0"/>
    <n v="0"/>
    <n v="0"/>
    <n v="0"/>
    <x v="0"/>
    <s v="intermediate"/>
    <s v="Graduates"/>
  </r>
  <r>
    <n v="102"/>
    <s v="Data Scientist"/>
    <n v="4.7"/>
    <s v="Rapid Response Monitoring"/>
    <s v="Syracuse | NY"/>
    <s v="Syracuse | NY"/>
    <s v="501 - 1000"/>
    <n v="1992"/>
    <x v="0"/>
    <s v="Security Services"/>
    <s v="Business Services"/>
    <s v="Unknown / Non-Applicable"/>
    <s v="COPS Monitoring, National Monitoring Center, Affiliated Monitoring"/>
    <n v="0"/>
    <n v="0"/>
    <n v="61000"/>
    <n v="110000"/>
    <n v="85500"/>
    <x v="4"/>
    <n v="31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103"/>
    <s v="Data Scientist, Rice University"/>
    <n v="4.3"/>
    <s v="Trilogy Ed"/>
    <s v="Houston | TX"/>
    <s v="New York | NY"/>
    <s v="1001 - 5000"/>
    <n v="2015"/>
    <x v="5"/>
    <s v="Education Training Services"/>
    <s v="Education"/>
    <s v="Unknown / Non-Applicable"/>
    <s v="General Assembly, Kaplan University, Ironhack"/>
    <n v="0"/>
    <n v="0"/>
    <n v="65000"/>
    <n v="110000"/>
    <n v="87500"/>
    <x v="5"/>
    <n v="8"/>
    <n v="1"/>
    <n v="0"/>
    <n v="0"/>
    <n v="0"/>
    <n v="1"/>
    <n v="0"/>
    <n v="0"/>
    <n v="0"/>
    <n v="0"/>
    <n v="1"/>
    <n v="0"/>
    <n v="0"/>
    <n v="0"/>
    <n v="0"/>
    <n v="0"/>
    <n v="0"/>
    <x v="0"/>
    <s v="intermediate"/>
    <s v="Graduates"/>
  </r>
  <r>
    <n v="104"/>
    <s v="Senior Data Scientist"/>
    <n v="4.2"/>
    <s v="Gallup"/>
    <s v="Washington | DC"/>
    <s v="Washington | DC"/>
    <s v="1001 - 5000"/>
    <n v="1935"/>
    <x v="0"/>
    <s v="Consulting"/>
    <s v="Business Services"/>
    <s v="Unknown / Non-Applicable"/>
    <s v="Advisory Board, Booz Allen Hamilton, McKinsey &amp; Company"/>
    <n v="0"/>
    <n v="0"/>
    <n v="200000"/>
    <n v="275000"/>
    <n v="237500"/>
    <x v="16"/>
    <n v="88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105"/>
    <s v="Data Engineer"/>
    <n v="3.9"/>
    <s v="CapTech"/>
    <s v="Charlotte | NC"/>
    <s v="Richmond | VA"/>
    <s v="1001 - 5000"/>
    <n v="1997"/>
    <x v="0"/>
    <s v="IT Services"/>
    <s v="Information Technology"/>
    <s v="500 million"/>
    <s v="Accenture, North Highland, Deloitte"/>
    <n v="0"/>
    <n v="0"/>
    <n v="68000"/>
    <n v="123000"/>
    <n v="95500"/>
    <x v="25"/>
    <n v="26"/>
    <n v="1"/>
    <n v="1"/>
    <n v="0"/>
    <n v="0"/>
    <n v="1"/>
    <n v="0"/>
    <n v="0"/>
    <n v="0"/>
    <n v="0"/>
    <n v="0"/>
    <n v="0"/>
    <n v="1"/>
    <n v="0"/>
    <n v="0"/>
    <n v="0"/>
    <n v="0"/>
    <x v="3"/>
    <s v="intermediate"/>
    <s v="Masters"/>
  </r>
  <r>
    <n v="106"/>
    <s v="Senior Data Scientist"/>
    <n v="3.3"/>
    <s v="American Axle &amp; Manufacturing"/>
    <s v="Southfield | MI"/>
    <s v="Detroit | MI"/>
    <s v="10000+"/>
    <n v="1994"/>
    <x v="3"/>
    <s v="Transportation Equipment Manufacturing"/>
    <s v="Manufacturing"/>
    <s v="10 billion"/>
    <s v="Unknown"/>
    <n v="0"/>
    <n v="0"/>
    <n v="80000"/>
    <n v="129000"/>
    <n v="104500"/>
    <x v="15"/>
    <n v="29"/>
    <n v="1"/>
    <n v="1"/>
    <n v="1"/>
    <n v="1"/>
    <n v="1"/>
    <n v="0"/>
    <n v="0"/>
    <n v="0"/>
    <n v="0"/>
    <n v="0"/>
    <n v="0"/>
    <n v="0"/>
    <n v="1"/>
    <n v="0"/>
    <n v="0"/>
    <n v="0"/>
    <x v="0"/>
    <s v="Senior "/>
    <s v="Masters"/>
  </r>
  <r>
    <n v="107"/>
    <s v="Financial Data Analyst"/>
    <n v="4.7"/>
    <s v="CentralReach"/>
    <s v="Matawan | NJ"/>
    <s v="Pompano Beach | FL"/>
    <s v="201 - 500"/>
    <n v="2012"/>
    <x v="0"/>
    <s v="Computer Hardware &amp; Software"/>
    <s v="Information Technology"/>
    <s v="Unknown / Non-Applicable"/>
    <s v="DataFinch Technologies, Accupoint Software Solution, CodeMetro"/>
    <n v="0"/>
    <n v="0"/>
    <n v="41000"/>
    <n v="72000"/>
    <n v="56500"/>
    <x v="9"/>
    <n v="11"/>
    <n v="0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Graduates"/>
  </r>
  <r>
    <n v="108"/>
    <s v="Senior Data Analyst"/>
    <n v="4.3"/>
    <s v="Integrate"/>
    <s v="Phoenix | AZ"/>
    <s v="Phoenix | AZ"/>
    <s v="201 - 500"/>
    <n v="2010"/>
    <x v="0"/>
    <s v="Enterprise Software &amp; Network Solutions"/>
    <s v="Information Technology"/>
    <s v="50 million "/>
    <s v="Unknown"/>
    <n v="0"/>
    <n v="0"/>
    <n v="39000"/>
    <n v="71000"/>
    <n v="55000"/>
    <x v="26"/>
    <n v="13"/>
    <n v="0"/>
    <n v="0"/>
    <n v="0"/>
    <n v="1"/>
    <n v="1"/>
    <n v="0"/>
    <n v="0"/>
    <n v="0"/>
    <n v="0"/>
    <n v="0"/>
    <n v="0"/>
    <n v="0"/>
    <n v="1"/>
    <n v="0"/>
    <n v="0"/>
    <n v="0"/>
    <x v="2"/>
    <s v="Senior "/>
    <s v="Graduates"/>
  </r>
  <r>
    <n v="109"/>
    <s v="Research Scientist"/>
    <n v="2.9"/>
    <s v="Boys Town Hospital"/>
    <s v="Omaha | NE"/>
    <s v="Omaha | NE"/>
    <s v="1001 - 5000"/>
    <n v="1977"/>
    <x v="4"/>
    <s v="Health Care Services &amp; Hospitals"/>
    <s v="Health Care"/>
    <s v="Unknown / Non-Applicable"/>
    <s v="Nebraska Medicine, Children's Hospital &amp; Medical Center, Methodist Health System - NE and IA"/>
    <n v="0"/>
    <n v="0"/>
    <n v="38000"/>
    <n v="85000"/>
    <n v="61500"/>
    <x v="27"/>
    <n v="46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110"/>
    <s v="Data Scientist"/>
    <n v="4.5"/>
    <s v="Demandbase"/>
    <s v="San | CA"/>
    <s v="San Francisco | CA"/>
    <s v="201 - 500"/>
    <n v="2006"/>
    <x v="0"/>
    <s v="Computer Hardware &amp; Software"/>
    <s v="Information Technology"/>
    <s v="500 million"/>
    <s v="Engagio, Bombora, Terminus"/>
    <n v="0"/>
    <n v="0"/>
    <n v="121000"/>
    <n v="193000"/>
    <n v="157000"/>
    <x v="6"/>
    <n v="17"/>
    <n v="0"/>
    <n v="1"/>
    <n v="1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111"/>
    <s v="Data Engineer"/>
    <n v="3.4"/>
    <s v="Sapphire Digital"/>
    <s v="Lyndhurst | NJ"/>
    <s v="Lyndhurst | NJ"/>
    <s v="201 - 500"/>
    <n v="2019"/>
    <x v="0"/>
    <s v="Internet"/>
    <s v="Information Technology"/>
    <s v="Unknown / Non-Applicable"/>
    <s v="Zocdoc, Healthgrades"/>
    <n v="0"/>
    <n v="0"/>
    <n v="54000"/>
    <n v="102000"/>
    <n v="78000"/>
    <x v="9"/>
    <n v="4"/>
    <n v="1"/>
    <n v="0"/>
    <n v="0"/>
    <n v="0"/>
    <n v="1"/>
    <n v="0"/>
    <n v="0"/>
    <n v="0"/>
    <n v="0"/>
    <n v="0"/>
    <n v="0"/>
    <n v="0"/>
    <n v="0"/>
    <n v="0"/>
    <n v="0"/>
    <n v="0"/>
    <x v="3"/>
    <s v="intermediate"/>
    <s v="Graduates"/>
  </r>
  <r>
    <n v="112"/>
    <s v="Data Scientist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83000"/>
    <n v="144000"/>
    <n v="113500"/>
    <x v="8"/>
    <n v="242"/>
    <n v="1"/>
    <n v="1"/>
    <n v="0"/>
    <n v="0"/>
    <n v="1"/>
    <n v="0"/>
    <n v="0"/>
    <n v="0"/>
    <n v="0"/>
    <n v="1"/>
    <n v="0"/>
    <n v="0"/>
    <n v="0"/>
    <n v="0"/>
    <n v="0"/>
    <n v="0"/>
    <x v="0"/>
    <s v="intermediate"/>
    <s v="Masters"/>
  </r>
  <r>
    <n v="113"/>
    <s v="Data Scientist"/>
    <n v="4.5999999999999996"/>
    <s v="&lt;intent&gt;"/>
    <s v="New | NY"/>
    <s v="New York | NY"/>
    <s v="51 - 200"/>
    <n v="2009"/>
    <x v="0"/>
    <s v="Internet"/>
    <s v="Information Technology"/>
    <s v="500 million"/>
    <s v="Clicktripz, SmarterTravel"/>
    <n v="0"/>
    <n v="0"/>
    <n v="120000"/>
    <n v="160000"/>
    <n v="140000"/>
    <x v="4"/>
    <n v="14"/>
    <n v="1"/>
    <n v="1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114"/>
    <s v="Data Scientist"/>
    <n v="3.2"/>
    <s v="Formation"/>
    <s v="San | CA"/>
    <s v="San Francisco | CA"/>
    <s v="51 - 200"/>
    <n v="2015"/>
    <x v="0"/>
    <s v="Enterprise Software &amp; Network Solutions"/>
    <s v="Information Technology"/>
    <s v="Unknown / Non-Applicable"/>
    <s v="Unknown"/>
    <n v="0"/>
    <n v="0"/>
    <n v="102000"/>
    <n v="163000"/>
    <n v="132500"/>
    <x v="6"/>
    <n v="8"/>
    <n v="0"/>
    <n v="1"/>
    <n v="0"/>
    <n v="1"/>
    <n v="0"/>
    <n v="0"/>
    <n v="0"/>
    <n v="0"/>
    <n v="0"/>
    <n v="1"/>
    <n v="0"/>
    <n v="0"/>
    <n v="0"/>
    <n v="0"/>
    <n v="0"/>
    <n v="0"/>
    <x v="0"/>
    <s v="intermediate"/>
    <s v="Masters"/>
  </r>
  <r>
    <n v="115"/>
    <s v="Data Engineer"/>
    <n v="4"/>
    <s v="Autodesk"/>
    <s v="San | CA"/>
    <s v="San Rafael | CA"/>
    <s v="5001 - 10000"/>
    <n v="1982"/>
    <x v="3"/>
    <s v="Computer Hardware &amp; Software"/>
    <s v="Information Technology"/>
    <s v="5 billion "/>
    <s v="Unknown"/>
    <n v="0"/>
    <n v="0"/>
    <n v="76000"/>
    <n v="140000"/>
    <n v="108000"/>
    <x v="6"/>
    <n v="41"/>
    <n v="1"/>
    <n v="1"/>
    <n v="0"/>
    <n v="0"/>
    <n v="1"/>
    <n v="0"/>
    <n v="0"/>
    <n v="0"/>
    <n v="0"/>
    <n v="0"/>
    <n v="1"/>
    <n v="0"/>
    <n v="0"/>
    <n v="0"/>
    <n v="0"/>
    <n v="0"/>
    <x v="3"/>
    <s v="intermediate"/>
    <s v="Masters"/>
  </r>
  <r>
    <n v="116"/>
    <s v="Ag Data Scientist"/>
    <n v="4.5999999999999996"/>
    <s v="Beck's Hybrids"/>
    <s v="Atlanta | IN"/>
    <s v="Atlanta | IN"/>
    <s v="501 - 1000"/>
    <n v="1937"/>
    <x v="0"/>
    <s v="Farm Support Services"/>
    <s v="Agriculture &amp; Forestry"/>
    <s v="100 million "/>
    <s v="Unknown"/>
    <n v="0"/>
    <n v="0"/>
    <n v="60000"/>
    <n v="101000"/>
    <n v="80500"/>
    <x v="22"/>
    <n v="86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117"/>
    <s v="Data Scientist"/>
    <n v="2.8"/>
    <s v="DrFirst"/>
    <s v="Rockville | MD"/>
    <s v="Rockville | MD"/>
    <s v="201 - 500"/>
    <n v="2000"/>
    <x v="0"/>
    <s v="Health Care Services &amp; Hospitals"/>
    <s v="Health Care"/>
    <s v="Unknown / Non-Applicable"/>
    <s v="Unknown"/>
    <n v="0"/>
    <n v="0"/>
    <n v="82000"/>
    <n v="133000"/>
    <n v="107500"/>
    <x v="1"/>
    <n v="23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118"/>
    <s v="Data Engineer"/>
    <n v="4.7"/>
    <s v="Object Partners"/>
    <s v="Minneapolis | MN"/>
    <s v="Minneapolis | MN"/>
    <s v="51 - 200"/>
    <n v="1996"/>
    <x v="0"/>
    <s v="Consulting"/>
    <s v="Business Services"/>
    <s v="50 million "/>
    <s v="Solution Design Group, Intertech (Minnesota)"/>
    <n v="0"/>
    <n v="0"/>
    <n v="65000"/>
    <n v="125000"/>
    <n v="95000"/>
    <x v="28"/>
    <n v="27"/>
    <n v="0"/>
    <n v="1"/>
    <n v="1"/>
    <n v="0"/>
    <n v="1"/>
    <n v="0"/>
    <n v="0"/>
    <n v="0"/>
    <n v="0"/>
    <n v="0"/>
    <n v="1"/>
    <n v="0"/>
    <n v="0"/>
    <n v="1"/>
    <n v="0"/>
    <n v="0"/>
    <x v="3"/>
    <s v="intermediate"/>
    <s v="Graduates"/>
  </r>
  <r>
    <n v="119"/>
    <s v="Data Scientist II"/>
    <n v="3"/>
    <s v="L.A. Care Health Plan"/>
    <s v="Los | CA"/>
    <s v="Los Angeles | CA"/>
    <s v="1001 - 5000"/>
    <n v="1997"/>
    <x v="6"/>
    <s v="Health Care Services &amp; Hospitals"/>
    <s v="Health Care"/>
    <s v="Unknown / Non-Applicable"/>
    <s v="Health Net, Kaiser Permanente, Molina Healthcare"/>
    <n v="0"/>
    <n v="0"/>
    <n v="91000"/>
    <n v="148000"/>
    <n v="119500"/>
    <x v="6"/>
    <n v="26"/>
    <n v="1"/>
    <n v="1"/>
    <n v="0"/>
    <n v="0"/>
    <n v="1"/>
    <n v="1"/>
    <n v="0"/>
    <n v="0"/>
    <n v="0"/>
    <n v="0"/>
    <n v="0"/>
    <n v="1"/>
    <n v="0"/>
    <n v="0"/>
    <n v="0"/>
    <n v="0"/>
    <x v="0"/>
    <s v="intermediate"/>
    <s v="Masters"/>
  </r>
  <r>
    <n v="120"/>
    <s v="Senior Data Engineer"/>
    <n v="3.2"/>
    <s v="Red Ventures"/>
    <s v="Charlotte | NC"/>
    <s v="Fort Mill | SC"/>
    <s v="1001 - 5000"/>
    <n v="2000"/>
    <x v="0"/>
    <s v="Advertising &amp; Marketing"/>
    <s v="Business Services"/>
    <s v="2 billion "/>
    <s v="Clearlink, Credit Karma, LendingTree"/>
    <n v="0"/>
    <n v="0"/>
    <n v="95000"/>
    <n v="173000"/>
    <n v="134000"/>
    <x v="25"/>
    <n v="23"/>
    <n v="0"/>
    <n v="1"/>
    <n v="1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121"/>
    <s v="Data Scientist"/>
    <n v="4.4000000000000004"/>
    <s v="Quick Base"/>
    <s v="Cambridge | MA"/>
    <s v="Cambridge | MA"/>
    <s v="201 - 500"/>
    <n v="1999"/>
    <x v="0"/>
    <s v="Enterprise Software &amp; Network Solutions"/>
    <s v="Information Technology"/>
    <s v="Unknown / Non-Applicable"/>
    <s v="Unknown"/>
    <n v="0"/>
    <n v="0"/>
    <n v="77000"/>
    <n v="124000"/>
    <n v="100500"/>
    <x v="8"/>
    <n v="24"/>
    <n v="1"/>
    <n v="0"/>
    <n v="0"/>
    <n v="1"/>
    <n v="1"/>
    <n v="0"/>
    <n v="0"/>
    <n v="0"/>
    <n v="1"/>
    <n v="0"/>
    <n v="0"/>
    <n v="1"/>
    <n v="1"/>
    <n v="0"/>
    <n v="0"/>
    <n v="0"/>
    <x v="0"/>
    <s v="intermediate"/>
    <s v="Graduates"/>
  </r>
  <r>
    <n v="122"/>
    <s v="Data Scientist"/>
    <n v="3.5"/>
    <s v="The E.W. Scripps Company"/>
    <s v="Cincinnati | OH"/>
    <s v="Cincinnati | OH"/>
    <s v="1001 - 5000"/>
    <n v="1878"/>
    <x v="3"/>
    <s v="TV Broadcast &amp; Cable Networks"/>
    <s v="Media"/>
    <s v="750 million"/>
    <s v="Unknown"/>
    <n v="0"/>
    <n v="0"/>
    <n v="80000"/>
    <n v="135000"/>
    <n v="107500"/>
    <x v="17"/>
    <n v="145"/>
    <n v="1"/>
    <n v="0"/>
    <n v="0"/>
    <n v="0"/>
    <n v="1"/>
    <n v="0"/>
    <n v="0"/>
    <n v="0"/>
    <n v="0"/>
    <n v="0"/>
    <n v="0"/>
    <n v="1"/>
    <n v="0"/>
    <n v="0"/>
    <n v="0"/>
    <n v="0"/>
    <x v="0"/>
    <s v="intermediate"/>
    <s v="Masters"/>
  </r>
  <r>
    <n v="123"/>
    <s v="Data Engineer"/>
    <n v="4"/>
    <s v="Upside Business Travel"/>
    <s v="Washington | DC"/>
    <s v="Washington | DC"/>
    <s v="51 - 200"/>
    <n v="2015"/>
    <x v="0"/>
    <s v="Internet"/>
    <s v="Information Technology"/>
    <s v="Unknown / Non-Applicable"/>
    <s v="Unknown"/>
    <n v="0"/>
    <n v="0"/>
    <n v="85000"/>
    <n v="159000"/>
    <n v="122000"/>
    <x v="16"/>
    <n v="8"/>
    <n v="1"/>
    <n v="1"/>
    <n v="1"/>
    <n v="0"/>
    <n v="1"/>
    <n v="0"/>
    <n v="0"/>
    <n v="0"/>
    <n v="0"/>
    <n v="0"/>
    <n v="0"/>
    <n v="0"/>
    <n v="0"/>
    <n v="0"/>
    <n v="0"/>
    <n v="0"/>
    <x v="3"/>
    <s v="intermediate"/>
    <s v="Graduates"/>
  </r>
  <r>
    <n v="124"/>
    <s v="Data Engineer"/>
    <n v="4.3"/>
    <s v="Equity Residential"/>
    <s v="Chicago | IL"/>
    <s v="Chicago | IL"/>
    <s v="1001 - 5000"/>
    <n v="1993"/>
    <x v="3"/>
    <s v="Real Estate"/>
    <s v="Real Estate"/>
    <s v="5 billion "/>
    <s v="UDR, AvalonBay Communities, Essex Property Trust"/>
    <n v="0"/>
    <n v="0"/>
    <n v="80000"/>
    <n v="105000"/>
    <n v="92500"/>
    <x v="11"/>
    <n v="30"/>
    <n v="1"/>
    <n v="1"/>
    <n v="0"/>
    <n v="1"/>
    <n v="1"/>
    <n v="0"/>
    <n v="0"/>
    <n v="0"/>
    <n v="0"/>
    <n v="0"/>
    <n v="1"/>
    <n v="0"/>
    <n v="0"/>
    <n v="0"/>
    <n v="1"/>
    <n v="0"/>
    <x v="3"/>
    <s v="intermediate"/>
    <s v="Graduates"/>
  </r>
  <r>
    <n v="125"/>
    <s v="Data Analyst"/>
    <n v="2.2999999999999998"/>
    <s v="Synagro"/>
    <s v="Baltimore | MD"/>
    <s v="Baltimore | MD"/>
    <s v="501 - 1000"/>
    <n v="1986"/>
    <x v="0"/>
    <s v="Research &amp; Development"/>
    <s v="Business Services"/>
    <s v="500 million"/>
    <s v="Unknown"/>
    <n v="0"/>
    <n v="0"/>
    <n v="43000"/>
    <n v="81000"/>
    <n v="62000"/>
    <x v="1"/>
    <n v="37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126"/>
    <s v="Project Scientist"/>
    <n v="4"/>
    <s v="Alliance Source Testing"/>
    <s v="Alabaster | AL"/>
    <s v="Decatur | AL"/>
    <s v="51 - 200"/>
    <n v="2000"/>
    <x v="1"/>
    <s v="Architectural &amp; Engineering Services"/>
    <s v="Business Services"/>
    <s v="50 million "/>
    <s v="Unknown"/>
    <n v="0"/>
    <n v="0"/>
    <n v="29000"/>
    <n v="50000"/>
    <n v="39500"/>
    <x v="18"/>
    <n v="23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127"/>
    <s v="Data Scientist"/>
    <n v="3.6"/>
    <s v="Accuride International"/>
    <s v="Santa | CA"/>
    <s v="Santa Fe Springs | CA"/>
    <s v="1001 - 5000"/>
    <n v="1966"/>
    <x v="0"/>
    <s v="Industrial Manufacturing"/>
    <s v="Manufacturing"/>
    <s v="500 million"/>
    <s v="Unknown"/>
    <n v="0"/>
    <n v="0"/>
    <n v="82000"/>
    <n v="133000"/>
    <n v="107500"/>
    <x v="6"/>
    <n v="57"/>
    <n v="0"/>
    <n v="0"/>
    <n v="0"/>
    <n v="1"/>
    <n v="0"/>
    <n v="0"/>
    <n v="0"/>
    <n v="0"/>
    <n v="0"/>
    <n v="0"/>
    <n v="0"/>
    <n v="1"/>
    <n v="0"/>
    <n v="0"/>
    <n v="0"/>
    <n v="1"/>
    <x v="0"/>
    <s v="intermediate"/>
    <s v="Masters"/>
  </r>
  <r>
    <n v="128"/>
    <s v="Data Analytics Manager"/>
    <n v="3.8"/>
    <s v="Full Potential Solutions"/>
    <s v="Kansas | MO"/>
    <s v="Kansas City | MO"/>
    <s v="501 - 1000"/>
    <n v="2017"/>
    <x v="0"/>
    <s v="Staffing &amp; Outsourcing"/>
    <s v="Business Services"/>
    <s v="Unknown / Non-Applicable"/>
    <s v="Unknown"/>
    <n v="0"/>
    <n v="0"/>
    <n v="26000"/>
    <n v="55000"/>
    <n v="40500"/>
    <x v="19"/>
    <n v="6"/>
    <n v="1"/>
    <n v="0"/>
    <n v="1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129"/>
    <s v="Senior Machine Learning (ML) Engineer / Data Scientist - Cyber Security Analytics"/>
    <n v="3.7"/>
    <s v="Visa Inc."/>
    <s v="Ashburn | VA"/>
    <s v="Foster City | CA"/>
    <s v="10000+"/>
    <n v="1958"/>
    <x v="3"/>
    <s v="IT Services"/>
    <s v="Information Technology"/>
    <s v="10 billion "/>
    <s v="American Express, Mastercard, Discover"/>
    <n v="0"/>
    <n v="0"/>
    <n v="61000"/>
    <n v="118000"/>
    <n v="89500"/>
    <x v="7"/>
    <n v="65"/>
    <n v="1"/>
    <n v="1"/>
    <n v="0"/>
    <n v="0"/>
    <n v="1"/>
    <n v="0"/>
    <n v="0"/>
    <n v="0"/>
    <n v="0"/>
    <n v="0"/>
    <n v="1"/>
    <n v="1"/>
    <n v="0"/>
    <n v="0"/>
    <n v="0"/>
    <n v="0"/>
    <x v="0"/>
    <s v="Senior "/>
    <s v="Masters"/>
  </r>
  <r>
    <n v="130"/>
    <s v="Data Scientist"/>
    <n v="4.4000000000000004"/>
    <s v="Maven Wave Partners"/>
    <s v="Chicago | IL"/>
    <s v="Chicago | IL"/>
    <s v="201 - 500"/>
    <n v="2008"/>
    <x v="0"/>
    <s v="Consulting"/>
    <s v="Business Services"/>
    <s v="100 million "/>
    <s v="Unknown"/>
    <n v="0"/>
    <n v="0"/>
    <n v="60000"/>
    <n v="102000"/>
    <n v="81000"/>
    <x v="11"/>
    <n v="15"/>
    <n v="1"/>
    <n v="0"/>
    <n v="1"/>
    <n v="1"/>
    <n v="1"/>
    <n v="0"/>
    <n v="0"/>
    <n v="0"/>
    <n v="0"/>
    <n v="0"/>
    <n v="1"/>
    <n v="1"/>
    <n v="0"/>
    <n v="0"/>
    <n v="0"/>
    <n v="0"/>
    <x v="0"/>
    <s v="intermediate"/>
    <s v="Graduates"/>
  </r>
  <r>
    <n v="131"/>
    <s v="Senior Data Scientist"/>
    <n v="4"/>
    <s v="Novetta"/>
    <s v="Herndon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112000"/>
    <n v="182000"/>
    <n v="147000"/>
    <x v="7"/>
    <n v="11"/>
    <n v="1"/>
    <n v="0"/>
    <n v="1"/>
    <n v="0"/>
    <n v="0"/>
    <n v="0"/>
    <n v="1"/>
    <n v="0"/>
    <n v="0"/>
    <n v="1"/>
    <n v="0"/>
    <n v="0"/>
    <n v="0"/>
    <n v="0"/>
    <n v="0"/>
    <n v="0"/>
    <x v="0"/>
    <s v="Senior "/>
    <s v="Graduates"/>
  </r>
  <r>
    <n v="132"/>
    <s v="Data Scientist"/>
    <n v="3.2"/>
    <s v="First Command Financial Services, Inc."/>
    <s v="Fort | TX"/>
    <s v="Fort Worth | TX"/>
    <s v="1001 - 5000"/>
    <n v="1958"/>
    <x v="0"/>
    <s v="Brokerage Services"/>
    <s v="Finance"/>
    <s v="500 million"/>
    <s v="USAA, Navy Federal Credit Union, Raymond James Financial"/>
    <n v="0"/>
    <n v="0"/>
    <n v="64000"/>
    <n v="106000"/>
    <n v="85000"/>
    <x v="5"/>
    <n v="65"/>
    <n v="1"/>
    <n v="0"/>
    <n v="0"/>
    <n v="1"/>
    <n v="1"/>
    <n v="1"/>
    <n v="0"/>
    <n v="0"/>
    <n v="0"/>
    <n v="0"/>
    <n v="0"/>
    <n v="1"/>
    <n v="1"/>
    <n v="0"/>
    <n v="0"/>
    <n v="0"/>
    <x v="0"/>
    <s v="intermediate"/>
    <s v="Graduates"/>
  </r>
  <r>
    <n v="133"/>
    <s v="Associate Scientist"/>
    <n v="2.9"/>
    <s v="Pharmavite"/>
    <s v="Valencia | CA"/>
    <s v="West Hills | CA"/>
    <s v="1001 - 5000"/>
    <n v="1971"/>
    <x v="0"/>
    <s v="Consumer Products Manufacturing"/>
    <s v="Manufacturing"/>
    <s v="2 billion "/>
    <s v="The Nature's Bounty Co., Schiff Nutrition International"/>
    <n v="0"/>
    <n v="0"/>
    <n v="51000"/>
    <n v="112000"/>
    <n v="81500"/>
    <x v="6"/>
    <n v="5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Masters"/>
  </r>
  <r>
    <n v="134"/>
    <s v="Scientist 2, QC Viral Vector"/>
    <n v="3.8"/>
    <s v="BioMarin Pharmaceutical"/>
    <s v="Novato | CA"/>
    <s v="San Rafael | CA"/>
    <s v="1001 - 5000"/>
    <n v="1997"/>
    <x v="3"/>
    <s v="Biotech &amp; Pharmaceuticals"/>
    <s v="Biotech &amp; Pharmaceuticals"/>
    <s v="750 million"/>
    <s v="Genentech, Ultragenyx Pharmaceutical, Gilead Sciences"/>
    <n v="0"/>
    <n v="0"/>
    <n v="113000"/>
    <n v="223000"/>
    <n v="168000"/>
    <x v="6"/>
    <n v="26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135"/>
    <s v="Machine Learning Engineer"/>
    <n v="4.3"/>
    <s v="Stratagem Group"/>
    <s v="Aurora | CO"/>
    <s v="Aurora | CO"/>
    <n v="500"/>
    <n v="2007"/>
    <x v="0"/>
    <s v="Aerospace &amp; Defense"/>
    <s v="Aerospace &amp; Defense"/>
    <s v="Unknown / Non-Applicable"/>
    <s v="Unknown"/>
    <n v="0"/>
    <n v="0"/>
    <n v="72000"/>
    <n v="129000"/>
    <n v="100500"/>
    <x v="10"/>
    <n v="16"/>
    <n v="1"/>
    <n v="1"/>
    <n v="1"/>
    <n v="1"/>
    <n v="1"/>
    <n v="0"/>
    <n v="0"/>
    <n v="0"/>
    <n v="0"/>
    <n v="1"/>
    <n v="1"/>
    <n v="0"/>
    <n v="0"/>
    <n v="0"/>
    <n v="0"/>
    <n v="0"/>
    <x v="7"/>
    <s v="intermediate"/>
    <s v="Graduates"/>
  </r>
  <r>
    <n v="136"/>
    <s v="Data Scientist/ML Engineer"/>
    <n v="3.4"/>
    <s v="PA Consulting"/>
    <s v="New | NY"/>
    <s v="London | United Kingdom"/>
    <s v="1001 - 5000"/>
    <n v="1943"/>
    <x v="0"/>
    <s v="Consulting"/>
    <s v="Business Services"/>
    <s v="500 million"/>
    <s v="McKinsey &amp; Company, Accenture, Deloitte"/>
    <n v="0"/>
    <n v="0"/>
    <n v="71000"/>
    <n v="123000"/>
    <n v="97000"/>
    <x v="4"/>
    <n v="80"/>
    <n v="1"/>
    <n v="1"/>
    <n v="0"/>
    <n v="1"/>
    <n v="1"/>
    <n v="0"/>
    <n v="0"/>
    <n v="0"/>
    <n v="0"/>
    <n v="0"/>
    <n v="1"/>
    <n v="1"/>
    <n v="0"/>
    <n v="0"/>
    <n v="1"/>
    <n v="0"/>
    <x v="0"/>
    <s v="intermediate"/>
    <s v="Masters"/>
  </r>
  <r>
    <n v="137"/>
    <s v="Data Scientist"/>
    <n v="4.0999999999999996"/>
    <s v="ManTech"/>
    <s v="Chantilly | VA"/>
    <s v="Herndon | VA"/>
    <s v="5001 - 10000"/>
    <n v="1968"/>
    <x v="3"/>
    <s v="Research &amp; Development"/>
    <s v="Business Services"/>
    <s v="2 billion "/>
    <s v="Unknown"/>
    <n v="0"/>
    <n v="0"/>
    <n v="64000"/>
    <n v="106000"/>
    <n v="85000"/>
    <x v="7"/>
    <n v="55"/>
    <n v="0"/>
    <n v="0"/>
    <n v="0"/>
    <n v="0"/>
    <n v="1"/>
    <n v="0"/>
    <n v="0"/>
    <n v="0"/>
    <n v="0"/>
    <n v="0"/>
    <n v="1"/>
    <n v="0"/>
    <n v="0"/>
    <n v="0"/>
    <n v="0"/>
    <n v="0"/>
    <x v="0"/>
    <s v="intermediate"/>
    <s v="Graduates"/>
  </r>
  <r>
    <n v="138"/>
    <s v="Customer Data Scientist"/>
    <n v="4.3"/>
    <s v="h2o.ai"/>
    <s v="Mountain | CA"/>
    <s v="Mountain View | CA"/>
    <s v="201 - 500"/>
    <n v="2011"/>
    <x v="0"/>
    <s v="Enterprise Software &amp; Network Solutions"/>
    <s v="Information Technology"/>
    <s v="Unknown / Non-Applicable"/>
    <s v="Unknown"/>
    <n v="0"/>
    <n v="0"/>
    <n v="118000"/>
    <n v="189000"/>
    <n v="153500"/>
    <x v="6"/>
    <n v="12"/>
    <n v="1"/>
    <n v="1"/>
    <n v="1"/>
    <n v="1"/>
    <n v="0"/>
    <n v="0"/>
    <n v="0"/>
    <n v="0"/>
    <n v="0"/>
    <n v="0"/>
    <n v="1"/>
    <n v="0"/>
    <n v="0"/>
    <n v="0"/>
    <n v="0"/>
    <n v="0"/>
    <x v="0"/>
    <s v="intermediate"/>
    <s v="Masters"/>
  </r>
  <r>
    <n v="139"/>
    <s v="Data Engineer"/>
    <n v="5"/>
    <s v="Gridiron IT"/>
    <s v="Tampa | FL"/>
    <s v="Reston | VA"/>
    <s v="51 - 200"/>
    <n v="2017"/>
    <x v="0"/>
    <s v="IT Services"/>
    <s v="Information Technology"/>
    <s v="Unknown / Non-Applicable"/>
    <s v="Unknown"/>
    <n v="0"/>
    <n v="1"/>
    <n v="120000"/>
    <n v="145000"/>
    <n v="132500"/>
    <x v="2"/>
    <n v="6"/>
    <n v="0"/>
    <n v="0"/>
    <n v="0"/>
    <n v="0"/>
    <n v="0"/>
    <n v="0"/>
    <n v="0"/>
    <n v="0"/>
    <n v="0"/>
    <n v="0"/>
    <n v="0"/>
    <n v="0"/>
    <n v="0"/>
    <n v="0"/>
    <n v="0"/>
    <n v="0"/>
    <x v="3"/>
    <s v="intermediate"/>
    <s v="Graduates"/>
  </r>
  <r>
    <n v="140"/>
    <s v="Data Engineer"/>
    <n v="4.3"/>
    <s v="Productive Edge"/>
    <s v="Chicago | IL"/>
    <s v="Chicago | IL"/>
    <s v="51 - 200"/>
    <n v="2008"/>
    <x v="0"/>
    <s v="Computer Hardware &amp; Software"/>
    <s v="Information Technology"/>
    <s v="25 million"/>
    <s v="Numerator, Rise Interactive, Salom"/>
    <n v="0"/>
    <n v="0"/>
    <n v="80000"/>
    <n v="120000"/>
    <n v="100000"/>
    <x v="11"/>
    <n v="15"/>
    <n v="0"/>
    <n v="1"/>
    <n v="0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141"/>
    <s v="Sr. Data Scientist"/>
    <n v="3.7"/>
    <s v="Evolve Vacation Rental"/>
    <s v="Denver | CO"/>
    <s v="Denver | CO"/>
    <s v="201 - 500"/>
    <n v="2011"/>
    <x v="0"/>
    <s v="Travel Agencies"/>
    <s v="Travel &amp; Tourism"/>
    <s v="Unknown / Non-Applicable"/>
    <s v="Unknown"/>
    <n v="0"/>
    <n v="0"/>
    <n v="80000"/>
    <n v="130000"/>
    <n v="105000"/>
    <x v="10"/>
    <n v="12"/>
    <n v="1"/>
    <n v="0"/>
    <n v="0"/>
    <n v="0"/>
    <n v="1"/>
    <n v="0"/>
    <n v="0"/>
    <n v="0"/>
    <n v="0"/>
    <n v="0"/>
    <n v="0"/>
    <n v="0"/>
    <n v="0"/>
    <n v="0"/>
    <n v="0"/>
    <n v="0"/>
    <x v="0"/>
    <s v="Senior "/>
    <s v="Masters"/>
  </r>
  <r>
    <n v="142"/>
    <s v="Data Engineer 4 - Contract"/>
    <n v="4.2"/>
    <s v="The Church of Jesus Christ of Latter-day Saints"/>
    <s v="Riverton | UT"/>
    <s v="Salt Lake City | UT"/>
    <s v="10000+"/>
    <s v="Unknown"/>
    <x v="6"/>
    <s v="Religious Organizations"/>
    <s v="Non-Profit"/>
    <s v="Unknown / Non-Applicable"/>
    <s v="Unknown"/>
    <n v="0"/>
    <n v="0"/>
    <n v="59000"/>
    <n v="115000"/>
    <n v="87000"/>
    <x v="29"/>
    <s v="Unknown"/>
    <n v="0"/>
    <n v="0"/>
    <n v="1"/>
    <n v="1"/>
    <n v="0"/>
    <n v="0"/>
    <n v="0"/>
    <n v="0"/>
    <n v="0"/>
    <n v="0"/>
    <n v="0"/>
    <n v="0"/>
    <n v="0"/>
    <n v="0"/>
    <n v="0"/>
    <n v="0"/>
    <x v="3"/>
    <s v="intermediate"/>
    <s v="Masters"/>
  </r>
  <r>
    <n v="143"/>
    <s v="Data Analyst - Asset Management"/>
    <n v="4.3"/>
    <s v="Maximus Real Estate Partners"/>
    <s v="San | CA"/>
    <s v="San Francisco | CA"/>
    <s v="51 - 200"/>
    <n v="2013"/>
    <x v="0"/>
    <s v="Real Estate"/>
    <s v="Real Estate"/>
    <s v="Unknown / Non-Applicable"/>
    <s v="Greystar, The Related Companies, Prometheus Real Estate Group"/>
    <n v="0"/>
    <n v="0"/>
    <n v="71000"/>
    <n v="136000"/>
    <n v="103500"/>
    <x v="6"/>
    <n v="10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144"/>
    <s v="Senior Research Scientist - Embedded System Development for DevOps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67000"/>
    <n v="124000"/>
    <x v="20"/>
    <n v="39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145"/>
    <s v="Data Scientist - Bioinformatics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49000"/>
    <n v="85000"/>
    <n v="67000"/>
    <x v="3"/>
    <n v="58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Post Graduates"/>
  </r>
  <r>
    <n v="146"/>
    <s v="Data Engineer"/>
    <n v="3.9"/>
    <s v="AVANADE"/>
    <s v="Washington | DC"/>
    <s v="Seattle | WA"/>
    <s v="10000+"/>
    <n v="2000"/>
    <x v="0"/>
    <s v="IT Services"/>
    <s v="Information Technology"/>
    <s v="5 billion "/>
    <s v="Slalom, Cognizant Technology Solutions, Deloitte"/>
    <n v="0"/>
    <n v="0"/>
    <n v="60000"/>
    <n v="114000"/>
    <n v="87000"/>
    <x v="16"/>
    <n v="23"/>
    <n v="0"/>
    <n v="0"/>
    <n v="0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147"/>
    <s v="Customer Data Scientist/Sales Engineer"/>
    <n v="4.3"/>
    <s v="h2o.ai"/>
    <s v="Chicago | IL"/>
    <s v="Mountain View | CA"/>
    <s v="201 - 500"/>
    <n v="2011"/>
    <x v="0"/>
    <s v="Enterprise Software &amp; Network Solutions"/>
    <s v="Information Technology"/>
    <s v="Unknown / Non-Applicable"/>
    <s v="Unknown"/>
    <n v="0"/>
    <n v="0"/>
    <n v="71000"/>
    <n v="204000"/>
    <n v="137500"/>
    <x v="11"/>
    <n v="12"/>
    <n v="1"/>
    <n v="1"/>
    <n v="1"/>
    <n v="1"/>
    <n v="0"/>
    <n v="0"/>
    <n v="1"/>
    <n v="0"/>
    <n v="1"/>
    <n v="1"/>
    <n v="1"/>
    <n v="0"/>
    <n v="0"/>
    <n v="0"/>
    <n v="0"/>
    <n v="0"/>
    <x v="0"/>
    <s v="intermediate"/>
    <s v="Post Graduates"/>
  </r>
  <r>
    <n v="148"/>
    <s v="Lead Data Scientist"/>
    <n v="3.8"/>
    <s v="PatientPoint"/>
    <s v="Cincinnati | OH"/>
    <s v="Cincinnati | OH"/>
    <s v="201 - 500"/>
    <n v="1987"/>
    <x v="0"/>
    <s v="Advertising &amp; Marketing"/>
    <s v="Business Services"/>
    <s v="500 million"/>
    <s v="Outcome Health, Health Media Network, Mesmerize Marketing"/>
    <n v="0"/>
    <n v="0"/>
    <n v="75000"/>
    <n v="125000"/>
    <n v="100000"/>
    <x v="17"/>
    <n v="36"/>
    <n v="1"/>
    <n v="0"/>
    <n v="0"/>
    <n v="1"/>
    <n v="1"/>
    <n v="0"/>
    <n v="0"/>
    <n v="0"/>
    <n v="1"/>
    <n v="0"/>
    <n v="0"/>
    <n v="0"/>
    <n v="1"/>
    <n v="0"/>
    <n v="0"/>
    <n v="0"/>
    <x v="0"/>
    <s v="Senior "/>
    <s v="Masters"/>
  </r>
  <r>
    <n v="149"/>
    <s v="MongoDB Data Engineer II"/>
    <n v="3.8"/>
    <s v="BlueCross BlueShield of Tennessee"/>
    <s v="Chattanooga | TN"/>
    <s v="Chattanooga | TN"/>
    <s v="5001 - 10000"/>
    <n v="1945"/>
    <x v="6"/>
    <s v="Insurance Carriers"/>
    <s v="Insurance"/>
    <s v="10 billion"/>
    <s v="Unknown"/>
    <n v="0"/>
    <n v="0"/>
    <n v="77000"/>
    <n v="136000"/>
    <n v="106500"/>
    <x v="30"/>
    <n v="78"/>
    <n v="0"/>
    <n v="0"/>
    <n v="0"/>
    <n v="1"/>
    <n v="1"/>
    <n v="1"/>
    <n v="0"/>
    <n v="0"/>
    <n v="0"/>
    <n v="0"/>
    <n v="0"/>
    <n v="1"/>
    <n v="0"/>
    <n v="0"/>
    <n v="1"/>
    <n v="0"/>
    <x v="3"/>
    <s v="intermediate"/>
    <s v="Graduates"/>
  </r>
  <r>
    <n v="150"/>
    <s v="Senior Data Scientist Statistics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74000"/>
    <n v="123000"/>
    <n v="98500"/>
    <x v="3"/>
    <n v="58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151"/>
    <s v="Senior Data Analyst"/>
    <n v="4.8"/>
    <s v="KnowBe4"/>
    <s v="Clearwater | FL"/>
    <s v="Clearwater | FL"/>
    <s v="501 - 1000"/>
    <n v="2010"/>
    <x v="0"/>
    <s v="Security Services"/>
    <s v="Business Services"/>
    <s v="500 million"/>
    <s v="Unknown"/>
    <n v="0"/>
    <n v="0"/>
    <n v="44000"/>
    <n v="78000"/>
    <n v="61000"/>
    <x v="2"/>
    <n v="13"/>
    <n v="1"/>
    <n v="0"/>
    <n v="0"/>
    <n v="1"/>
    <n v="1"/>
    <n v="0"/>
    <n v="0"/>
    <n v="0"/>
    <n v="0"/>
    <n v="0"/>
    <n v="0"/>
    <n v="0"/>
    <n v="0"/>
    <n v="0"/>
    <n v="0"/>
    <n v="0"/>
    <x v="2"/>
    <s v="Senior "/>
    <s v="Masters"/>
  </r>
  <r>
    <n v="152"/>
    <s v="Senior Spark Engineer (Data Science)"/>
    <n v="4.4000000000000004"/>
    <s v="KSM Consulting"/>
    <s v="Indianapolis | IN"/>
    <s v="Indianapolis | IN"/>
    <s v="51 - 200"/>
    <n v="2008"/>
    <x v="0"/>
    <s v="Consulting"/>
    <s v="Business Services"/>
    <s v="Unknown / Non-Applicable"/>
    <s v="Unknown"/>
    <n v="0"/>
    <n v="0"/>
    <n v="65000"/>
    <n v="148000"/>
    <n v="106500"/>
    <x v="22"/>
    <n v="15"/>
    <n v="1"/>
    <n v="1"/>
    <n v="1"/>
    <n v="0"/>
    <n v="1"/>
    <n v="0"/>
    <n v="0"/>
    <n v="0"/>
    <n v="0"/>
    <n v="0"/>
    <n v="0"/>
    <n v="0"/>
    <n v="0"/>
    <n v="0"/>
    <n v="1"/>
    <n v="0"/>
    <x v="0"/>
    <s v="Senior "/>
    <s v="Graduates"/>
  </r>
  <r>
    <n v="153"/>
    <s v="Data Engineer"/>
    <n v="3.9"/>
    <s v="Cogo Labs"/>
    <s v="Cambridge | MA"/>
    <s v="Cambridge | MA"/>
    <s v="51 - 200"/>
    <n v="2005"/>
    <x v="0"/>
    <s v="Internet"/>
    <s v="Information Technology"/>
    <s v="Unknown / Non-Applicable"/>
    <s v="Unknown"/>
    <n v="0"/>
    <n v="0"/>
    <n v="59000"/>
    <n v="110000"/>
    <n v="84500"/>
    <x v="8"/>
    <n v="18"/>
    <n v="1"/>
    <n v="1"/>
    <n v="0"/>
    <n v="0"/>
    <n v="1"/>
    <n v="0"/>
    <n v="0"/>
    <n v="0"/>
    <n v="0"/>
    <n v="0"/>
    <n v="0"/>
    <n v="0"/>
    <n v="0"/>
    <n v="0"/>
    <n v="0"/>
    <n v="0"/>
    <x v="3"/>
    <s v="intermediate"/>
    <s v="Graduates"/>
  </r>
  <r>
    <n v="154"/>
    <s v="BI &amp; Platform Analytics Manager"/>
    <n v="3.4"/>
    <s v="Church &amp; Dwight"/>
    <s v="Ewing | NJ"/>
    <s v="Ewing | NJ"/>
    <s v="1001 - 5000"/>
    <n v="1846"/>
    <x v="3"/>
    <s v="Consumer Products Manufacturing"/>
    <s v="Manufacturing"/>
    <s v="5 billion "/>
    <s v="Unknown"/>
    <n v="0"/>
    <n v="0"/>
    <n v="85000"/>
    <n v="134000"/>
    <n v="109500"/>
    <x v="9"/>
    <n v="177"/>
    <n v="1"/>
    <n v="0"/>
    <n v="0"/>
    <n v="1"/>
    <n v="0"/>
    <n v="0"/>
    <n v="0"/>
    <n v="0"/>
    <n v="0"/>
    <n v="0"/>
    <n v="0"/>
    <n v="1"/>
    <n v="1"/>
    <n v="0"/>
    <n v="0"/>
    <n v="0"/>
    <x v="6"/>
    <s v="intermediate"/>
    <s v="Masters"/>
  </r>
  <r>
    <n v="155"/>
    <s v="Lead Data Scientist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124000"/>
    <n v="204000"/>
    <n v="164000"/>
    <x v="8"/>
    <n v="172"/>
    <n v="1"/>
    <n v="1"/>
    <n v="1"/>
    <n v="0"/>
    <n v="1"/>
    <n v="0"/>
    <n v="0"/>
    <n v="0"/>
    <n v="1"/>
    <n v="0"/>
    <n v="1"/>
    <n v="0"/>
    <n v="0"/>
    <n v="0"/>
    <n v="0"/>
    <n v="0"/>
    <x v="0"/>
    <s v="Senior "/>
    <s v="Post Graduates"/>
  </r>
  <r>
    <n v="156"/>
    <s v="Sr. Data Scientist - Analytics, Personalized Healthcare (PHC)"/>
    <n v="3.9"/>
    <s v="Genentech"/>
    <s v="South | CA"/>
    <s v="South San Francisco | CA"/>
    <s v="10000+"/>
    <n v="1976"/>
    <x v="5"/>
    <s v="Biotech &amp; Pharmaceuticals"/>
    <s v="Biotech &amp; Pharmaceuticals"/>
    <s v="10 billion "/>
    <s v="Unknown"/>
    <n v="0"/>
    <n v="0"/>
    <n v="131000"/>
    <n v="207000"/>
    <n v="169000"/>
    <x v="6"/>
    <n v="47"/>
    <n v="1"/>
    <n v="1"/>
    <n v="0"/>
    <n v="1"/>
    <n v="1"/>
    <n v="0"/>
    <n v="0"/>
    <n v="0"/>
    <n v="0"/>
    <n v="0"/>
    <n v="1"/>
    <n v="0"/>
    <n v="0"/>
    <n v="0"/>
    <n v="0"/>
    <n v="0"/>
    <x v="0"/>
    <s v="Senior "/>
    <s v="Post Graduates"/>
  </r>
  <r>
    <n v="157"/>
    <s v="Senior Data Scientist"/>
    <n v="3.8"/>
    <s v="Juniper Networks"/>
    <s v="Cupertino | CA"/>
    <s v="Sunnyvale | CA"/>
    <s v="5001 - 10000"/>
    <n v="1996"/>
    <x v="3"/>
    <s v="Telecommunications Services"/>
    <s v="Telecommunications"/>
    <s v="5 billion "/>
    <s v="Unknown"/>
    <n v="0"/>
    <n v="0"/>
    <n v="110000"/>
    <n v="174000"/>
    <n v="142000"/>
    <x v="6"/>
    <n v="27"/>
    <n v="1"/>
    <n v="1"/>
    <n v="1"/>
    <n v="1"/>
    <n v="0"/>
    <n v="0"/>
    <n v="0"/>
    <n v="0"/>
    <n v="1"/>
    <n v="1"/>
    <n v="0"/>
    <n v="0"/>
    <n v="0"/>
    <n v="1"/>
    <n v="0"/>
    <n v="0"/>
    <x v="0"/>
    <s v="Senior "/>
    <s v="Post Graduates"/>
  </r>
  <r>
    <n v="158"/>
    <s v="Pricipal Scientist Molecular and cellular biologist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52000"/>
    <n v="101000"/>
    <n v="76500"/>
    <x v="8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159"/>
    <s v="Data Scientist (Actuary, FSA or ASA)"/>
    <n v="3.8"/>
    <s v="Legal &amp; General America"/>
    <s v="Frederick | MD"/>
    <s v="Frederick | MD"/>
    <s v="501 - 1000"/>
    <n v="1981"/>
    <x v="0"/>
    <s v="Insurance Carriers"/>
    <s v="Insurance"/>
    <s v="750 million"/>
    <s v="Unknown"/>
    <n v="0"/>
    <n v="0"/>
    <n v="81000"/>
    <n v="133000"/>
    <n v="107000"/>
    <x v="1"/>
    <n v="42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Masters"/>
  </r>
  <r>
    <n v="160"/>
    <s v="Staff Data Scientist"/>
    <n v="3.5"/>
    <s v="Western Digital"/>
    <s v="San | CA"/>
    <s v="San Jose | CA"/>
    <s v="10000+"/>
    <n v="1970"/>
    <x v="3"/>
    <s v="Computer Hardware &amp; Software"/>
    <s v="Information Technology"/>
    <s v="10 billion "/>
    <s v="Seagate Technology, Toshiba"/>
    <n v="0"/>
    <n v="0"/>
    <n v="132000"/>
    <n v="211000"/>
    <n v="171500"/>
    <x v="6"/>
    <n v="53"/>
    <n v="1"/>
    <n v="0"/>
    <n v="1"/>
    <n v="0"/>
    <n v="1"/>
    <n v="0"/>
    <n v="0"/>
    <n v="0"/>
    <n v="0"/>
    <n v="0"/>
    <n v="1"/>
    <n v="0"/>
    <n v="0"/>
    <n v="0"/>
    <n v="0"/>
    <n v="0"/>
    <x v="0"/>
    <s v="intermediate"/>
    <s v="Masters"/>
  </r>
  <r>
    <n v="161"/>
    <s v="Senior Data Scientist / Machine Learning"/>
    <n v="3.9"/>
    <s v="Health IQ"/>
    <s v="Dallas | TX"/>
    <s v="Mountain View | CA"/>
    <s v="201 - 500"/>
    <n v="2013"/>
    <x v="0"/>
    <s v="Insurance Agencies &amp; Brokerages"/>
    <s v="Insurance"/>
    <s v="Unknown / Non-Applicable"/>
    <s v="Unknown"/>
    <n v="0"/>
    <n v="0"/>
    <n v="73000"/>
    <n v="119000"/>
    <n v="96000"/>
    <x v="5"/>
    <n v="10"/>
    <n v="0"/>
    <n v="0"/>
    <n v="0"/>
    <n v="1"/>
    <n v="0"/>
    <n v="0"/>
    <n v="0"/>
    <n v="0"/>
    <n v="0"/>
    <n v="0"/>
    <n v="0"/>
    <n v="0"/>
    <n v="0"/>
    <n v="0"/>
    <n v="0"/>
    <n v="0"/>
    <x v="0"/>
    <s v="Senior "/>
    <s v="Post Graduates"/>
  </r>
  <r>
    <n v="162"/>
    <s v="Data Scientist - Health Data Analytics"/>
    <n v="4.2"/>
    <s v="Nuna"/>
    <s v="San | CA"/>
    <s v="San Francisco | CA"/>
    <s v="51 - 200"/>
    <n v="2010"/>
    <x v="0"/>
    <s v="Enterprise Software &amp; Network Solutions"/>
    <s v="Information Technology"/>
    <s v="Unknown / Non-Applicable"/>
    <s v="Unknown"/>
    <n v="0"/>
    <n v="0"/>
    <n v="110000"/>
    <n v="175000"/>
    <n v="142500"/>
    <x v="6"/>
    <n v="13"/>
    <n v="0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163"/>
    <s v="Data Engineer 5 - Contract (Remote)"/>
    <n v="4.2"/>
    <s v="The Church of Jesus Christ of Latter-day Saints"/>
    <s v="Riverton | UT"/>
    <s v="Salt Lake City | UT"/>
    <s v="10000+"/>
    <s v="Unknown"/>
    <x v="6"/>
    <s v="Religious Organizations"/>
    <s v="Non-Profit"/>
    <s v="Unknown / Non-Applicable"/>
    <s v="Unknown"/>
    <n v="0"/>
    <n v="0"/>
    <n v="74000"/>
    <n v="140000"/>
    <n v="107000"/>
    <x v="29"/>
    <s v="Unknown"/>
    <n v="0"/>
    <n v="0"/>
    <n v="0"/>
    <n v="1"/>
    <n v="0"/>
    <n v="0"/>
    <n v="0"/>
    <n v="0"/>
    <n v="0"/>
    <n v="0"/>
    <n v="0"/>
    <n v="0"/>
    <n v="0"/>
    <n v="0"/>
    <n v="0"/>
    <n v="0"/>
    <x v="3"/>
    <s v="intermediate"/>
    <s v="Masters"/>
  </r>
  <r>
    <n v="164"/>
    <s v="Senior Scientist - Neuroscience"/>
    <n v="3.5"/>
    <s v="Sunovion"/>
    <s v="Marlborough | MA"/>
    <s v="Marlborough | MA"/>
    <s v="1001 - 5000"/>
    <n v="2010"/>
    <x v="0"/>
    <s v="Biotech &amp; Pharmaceuticals"/>
    <s v="Biotech &amp; Pharmaceuticals"/>
    <s v="2 billion "/>
    <s v="Shire, GlaxoSmithKline, Allergan"/>
    <n v="0"/>
    <n v="0"/>
    <n v="100000"/>
    <n v="190000"/>
    <n v="145000"/>
    <x v="8"/>
    <n v="13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165"/>
    <s v="Senior Data Analyst"/>
    <n v="2.9"/>
    <s v="National Student Clearinghouse"/>
    <s v="Herndon | VA"/>
    <s v="Herndon | VA"/>
    <s v="201 - 500"/>
    <n v="1993"/>
    <x v="6"/>
    <s v="Colleges &amp; Universities"/>
    <s v="Education"/>
    <s v="50 million "/>
    <s v="Ellucian, Parchment, College Board"/>
    <n v="0"/>
    <n v="0"/>
    <n v="43000"/>
    <n v="80000"/>
    <n v="61500"/>
    <x v="7"/>
    <n v="30"/>
    <n v="1"/>
    <n v="0"/>
    <n v="0"/>
    <n v="1"/>
    <n v="1"/>
    <n v="0"/>
    <n v="0"/>
    <n v="0"/>
    <n v="0"/>
    <n v="0"/>
    <n v="0"/>
    <n v="1"/>
    <n v="1"/>
    <n v="0"/>
    <n v="0"/>
    <n v="0"/>
    <x v="2"/>
    <s v="Senior "/>
    <s v="Masters"/>
  </r>
  <r>
    <n v="166"/>
    <s v="Medical Lab Scientist"/>
    <n v="3.6"/>
    <s v="Tower Health"/>
    <s v="West | PA"/>
    <s v="Reading | PA"/>
    <s v="5001 - 10000"/>
    <n v="2017"/>
    <x v="6"/>
    <s v="Health Care Services &amp; Hospitals"/>
    <s v="Health Care"/>
    <s v="Unknown / Non-Applicable"/>
    <s v="Unknown"/>
    <n v="1"/>
    <n v="0"/>
    <n v="35000"/>
    <n v="49000"/>
    <n v="42000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167"/>
    <s v="Risk and Analytics IT, Data Scientist"/>
    <n v="2.7"/>
    <s v="State of Wisconsin Investment Board"/>
    <s v="Madison | WI"/>
    <s v="Madison | WI"/>
    <s v="51 - 200"/>
    <n v="1951"/>
    <x v="2"/>
    <s v="Investment Banking &amp; Asset Management"/>
    <s v="Finance"/>
    <s v="100 million "/>
    <s v="Unknown"/>
    <n v="0"/>
    <n v="0"/>
    <n v="91000"/>
    <n v="149000"/>
    <n v="120000"/>
    <x v="24"/>
    <n v="72"/>
    <n v="1"/>
    <n v="0"/>
    <n v="0"/>
    <n v="0"/>
    <n v="1"/>
    <n v="0"/>
    <n v="0"/>
    <n v="0"/>
    <n v="0"/>
    <n v="0"/>
    <n v="0"/>
    <n v="1"/>
    <n v="1"/>
    <n v="0"/>
    <n v="0"/>
    <n v="0"/>
    <x v="0"/>
    <s v="intermediate"/>
    <s v="Graduates"/>
  </r>
  <r>
    <n v="168"/>
    <s v="Scientist, Analytical Development"/>
    <n v="4.4000000000000004"/>
    <s v="Rubius Therapeutics"/>
    <s v="Cambridge | MA"/>
    <s v="Cambridge | MA"/>
    <s v="201 - 500"/>
    <n v="2013"/>
    <x v="3"/>
    <s v="Biotech &amp; Pharmaceuticals"/>
    <s v="Biotech &amp; Pharmaceuticals"/>
    <s v="500 million"/>
    <s v="Unknown"/>
    <n v="0"/>
    <n v="0"/>
    <n v="42000"/>
    <n v="82000"/>
    <n v="62000"/>
    <x v="8"/>
    <n v="10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169"/>
    <s v="Senior Data Scientist"/>
    <n v="4"/>
    <s v="Autodesk"/>
    <s v="San | CA"/>
    <s v="San Rafael | CA"/>
    <s v="5001 - 10000"/>
    <n v="1982"/>
    <x v="3"/>
    <s v="Computer Hardware &amp; Software"/>
    <s v="Information Technology"/>
    <s v="5 billion "/>
    <s v="Unknown"/>
    <n v="0"/>
    <n v="0"/>
    <n v="116000"/>
    <n v="185000"/>
    <n v="150500"/>
    <x v="6"/>
    <n v="41"/>
    <n v="1"/>
    <n v="1"/>
    <n v="0"/>
    <n v="0"/>
    <n v="1"/>
    <n v="1"/>
    <n v="0"/>
    <n v="0"/>
    <n v="1"/>
    <n v="1"/>
    <n v="1"/>
    <n v="0"/>
    <n v="0"/>
    <n v="0"/>
    <n v="0"/>
    <n v="0"/>
    <x v="0"/>
    <s v="Senior "/>
    <s v="Post Graduates"/>
  </r>
  <r>
    <n v="170"/>
    <s v="Analytics Manager"/>
    <n v="4.3"/>
    <s v="OneMagnify"/>
    <s v="Dearborn | MI"/>
    <s v="Detroit | MI"/>
    <s v="201 - 500"/>
    <n v="1967"/>
    <x v="0"/>
    <s v="Advertising &amp; Marketing"/>
    <s v="Business Services"/>
    <s v="Unknown / Non-Applicable"/>
    <s v="Unknown"/>
    <n v="0"/>
    <n v="0"/>
    <n v="59000"/>
    <n v="116000"/>
    <n v="87500"/>
    <x v="15"/>
    <n v="56"/>
    <n v="0"/>
    <n v="0"/>
    <n v="0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171"/>
    <s v="Data Engineer"/>
    <n v="4.2"/>
    <s v="IZEA"/>
    <s v="Winter | FL"/>
    <s v="Winter Park | FL"/>
    <s v="51 - 200"/>
    <n v="2006"/>
    <x v="3"/>
    <s v="Advertising &amp; Marketing"/>
    <s v="Business Services"/>
    <s v="50 million "/>
    <s v="Linqia, Collective Bias"/>
    <n v="0"/>
    <n v="0"/>
    <n v="48000"/>
    <n v="95000"/>
    <n v="71500"/>
    <x v="2"/>
    <n v="17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172"/>
    <s v="Digital Marketing &amp; ECommerce Data Analyst"/>
    <n v="3.6"/>
    <s v="Vionic Group"/>
    <s v="San | CA"/>
    <s v="San Rafael | CA"/>
    <s v="51 - 200"/>
    <n v="2006"/>
    <x v="5"/>
    <s v="Department, Clothing, &amp; Shoe Stores"/>
    <s v="Retail"/>
    <s v="500 million"/>
    <s v="Unknown"/>
    <n v="0"/>
    <n v="0"/>
    <n v="31000"/>
    <n v="72000"/>
    <n v="51500"/>
    <x v="6"/>
    <n v="17"/>
    <n v="0"/>
    <n v="0"/>
    <n v="0"/>
    <n v="1"/>
    <n v="0"/>
    <n v="0"/>
    <n v="0"/>
    <n v="0"/>
    <n v="0"/>
    <n v="0"/>
    <n v="0"/>
    <n v="0"/>
    <n v="0"/>
    <n v="0"/>
    <n v="0"/>
    <n v="1"/>
    <x v="2"/>
    <s v="intermediate"/>
    <s v="Graduates"/>
  </r>
  <r>
    <n v="173"/>
    <s v="Sr. Scientist - Digital &amp; Image Analysis/Computational Pathology"/>
    <n v="3.7"/>
    <s v="Takeda Pharmaceuticals"/>
    <s v="San | CA"/>
    <s v="OSAKA | Japan"/>
    <s v="10000+"/>
    <n v="1781"/>
    <x v="3"/>
    <s v="Biotech &amp; Pharmaceuticals"/>
    <s v="Biotech &amp; Pharmaceuticals"/>
    <s v="10 billion "/>
    <s v="Novartis, Baxter, Pfizer"/>
    <n v="0"/>
    <n v="0"/>
    <n v="105000"/>
    <n v="198000"/>
    <n v="151500"/>
    <x v="6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174"/>
    <s v="Senior Data Analyst"/>
    <n v="2.8"/>
    <s v="Dodge Data &amp; Analytics"/>
    <s v="Hamilton | NJ"/>
    <s v="Hamilton | NJ"/>
    <s v="201 - 500"/>
    <n v="2014"/>
    <x v="0"/>
    <s v="IT Services"/>
    <s v="Information Technology"/>
    <s v="Unknown / Non-Applicable"/>
    <s v="Unknown"/>
    <n v="0"/>
    <n v="0"/>
    <n v="55000"/>
    <n v="100000"/>
    <n v="77500"/>
    <x v="9"/>
    <n v="9"/>
    <n v="1"/>
    <n v="0"/>
    <n v="0"/>
    <n v="1"/>
    <n v="1"/>
    <n v="0"/>
    <n v="0"/>
    <n v="0"/>
    <n v="0"/>
    <n v="0"/>
    <n v="0"/>
    <n v="1"/>
    <n v="0"/>
    <n v="0"/>
    <n v="0"/>
    <n v="0"/>
    <x v="2"/>
    <s v="Senior "/>
    <s v="Graduates"/>
  </r>
  <r>
    <n v="175"/>
    <s v="Principal Scientist - Immunologist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98000"/>
    <n v="182000"/>
    <n v="140000"/>
    <x v="8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176"/>
    <s v="Senior Data Scientist"/>
    <n v="3.3"/>
    <s v="Plymouth Rock Assurance"/>
    <s v="Woodbridge | NJ"/>
    <s v="Boston | MA"/>
    <s v="1001 - 5000"/>
    <n v="1982"/>
    <x v="0"/>
    <s v="Insurance Carriers"/>
    <s v="Insurance"/>
    <s v="25 million"/>
    <s v="Arbella Insurance, Safety Insurance"/>
    <n v="0"/>
    <n v="0"/>
    <n v="73000"/>
    <n v="124000"/>
    <n v="98500"/>
    <x v="9"/>
    <n v="41"/>
    <n v="0"/>
    <n v="0"/>
    <n v="0"/>
    <n v="1"/>
    <n v="1"/>
    <n v="1"/>
    <n v="0"/>
    <n v="0"/>
    <n v="0"/>
    <n v="0"/>
    <n v="0"/>
    <n v="0"/>
    <n v="0"/>
    <n v="0"/>
    <n v="0"/>
    <n v="0"/>
    <x v="0"/>
    <s v="Senior "/>
    <s v="Masters"/>
  </r>
  <r>
    <n v="177"/>
    <s v="Principal Data Scientist with over 10 years experience"/>
    <n v="0"/>
    <s v="CA-One Tech Clou"/>
    <s v="San | CA"/>
    <s v="Fremont | CA"/>
    <s v="51 - 200"/>
    <n v="2017"/>
    <x v="0"/>
    <s v="IT Services"/>
    <s v="Information Technology"/>
    <s v="10 million "/>
    <s v="Unknown"/>
    <n v="0"/>
    <n v="1"/>
    <n v="200000"/>
    <n v="250000"/>
    <n v="225000"/>
    <x v="6"/>
    <n v="6"/>
    <n v="1"/>
    <n v="0"/>
    <n v="1"/>
    <n v="1"/>
    <n v="0"/>
    <n v="0"/>
    <n v="0"/>
    <n v="0"/>
    <n v="0"/>
    <n v="0"/>
    <n v="0"/>
    <n v="1"/>
    <n v="0"/>
    <n v="0"/>
    <n v="0"/>
    <n v="0"/>
    <x v="0"/>
    <s v="Senior "/>
    <s v="Graduates"/>
  </r>
  <r>
    <n v="178"/>
    <s v="MED TECH/LAB SCIENTIST - LABORATORY"/>
    <n v="3.6"/>
    <s v="Beebe Healthcare"/>
    <s v="Lewes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179"/>
    <s v="Sr. Scientist, Quantitative Translational Sciences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117000"/>
    <n v="206000"/>
    <n v="161500"/>
    <x v="8"/>
    <n v="242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Masters"/>
  </r>
  <r>
    <n v="180"/>
    <s v="Sr. Data Scientist II"/>
    <n v="3.4"/>
    <s v="Argo Group US"/>
    <s v="New | NY"/>
    <s v="Hamilton | Bermuda"/>
    <s v="1001 - 5000"/>
    <n v="1948"/>
    <x v="3"/>
    <s v="Insurance Carriers"/>
    <s v="Insurance"/>
    <s v="2 billion "/>
    <s v="Unknown"/>
    <n v="0"/>
    <n v="0"/>
    <n v="111000"/>
    <n v="183000"/>
    <n v="147000"/>
    <x v="4"/>
    <n v="75"/>
    <n v="1"/>
    <n v="1"/>
    <n v="1"/>
    <n v="0"/>
    <n v="1"/>
    <n v="0"/>
    <n v="1"/>
    <n v="1"/>
    <n v="1"/>
    <n v="1"/>
    <n v="1"/>
    <n v="0"/>
    <n v="0"/>
    <n v="0"/>
    <n v="0"/>
    <n v="0"/>
    <x v="0"/>
    <s v="Senior "/>
    <s v="Graduates"/>
  </r>
  <r>
    <n v="181"/>
    <s v="Excel / VBA / sql_ Data Analyst"/>
    <n v="4.0999999999999996"/>
    <s v="Associated Electric Cooperative"/>
    <s v="Springfield | MO"/>
    <s v="Springfield | MO"/>
    <s v="501 - 1000"/>
    <n v="1961"/>
    <x v="0"/>
    <s v="Energy"/>
    <s v="Oil, Gas, Energy &amp; Utilities"/>
    <s v="2 billion "/>
    <s v="Unknown"/>
    <n v="0"/>
    <n v="0"/>
    <n v="44000"/>
    <n v="78000"/>
    <n v="61000"/>
    <x v="19"/>
    <n v="62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Masters"/>
  </r>
  <r>
    <n v="182"/>
    <s v="Machine Learning Research Scientist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59000"/>
    <n v="120000"/>
    <x v="20"/>
    <n v="39"/>
    <n v="1"/>
    <n v="0"/>
    <n v="0"/>
    <n v="0"/>
    <n v="0"/>
    <n v="0"/>
    <n v="0"/>
    <n v="0"/>
    <n v="0"/>
    <n v="0"/>
    <n v="0"/>
    <n v="0"/>
    <n v="0"/>
    <n v="0"/>
    <n v="0"/>
    <n v="0"/>
    <x v="7"/>
    <s v="intermediate"/>
    <s v="Post Graduates"/>
  </r>
  <r>
    <n v="183"/>
    <s v="VP, Data Science"/>
    <n v="3.2"/>
    <s v="PennyMac"/>
    <s v="Phoenix | AZ"/>
    <s v="Westlake Village | CA"/>
    <s v="1001 - 5000"/>
    <n v="2008"/>
    <x v="3"/>
    <s v="Lending"/>
    <s v="Finance"/>
    <s v="750 million"/>
    <s v="Nationstar Mortgage, Caliber Funding, Quicken Loans"/>
    <n v="0"/>
    <n v="0"/>
    <n v="83000"/>
    <n v="166000"/>
    <n v="124500"/>
    <x v="26"/>
    <n v="15"/>
    <n v="1"/>
    <n v="0"/>
    <n v="0"/>
    <n v="1"/>
    <n v="1"/>
    <n v="0"/>
    <n v="1"/>
    <n v="0"/>
    <n v="0"/>
    <n v="1"/>
    <n v="0"/>
    <n v="0"/>
    <n v="0"/>
    <n v="0"/>
    <n v="0"/>
    <n v="0"/>
    <x v="0"/>
    <s v="intermediate"/>
    <s v="Graduates"/>
  </r>
  <r>
    <n v="184"/>
    <s v="Senior Data Scientist"/>
    <n v="3.9"/>
    <s v="Zest AI"/>
    <s v="Burbank | CA"/>
    <s v="Burbank | CA"/>
    <s v="51 - 200"/>
    <n v="2009"/>
    <x v="0"/>
    <s v="Financial Analytics &amp; Research"/>
    <s v="Finance"/>
    <s v="100 million "/>
    <s v="Unknown"/>
    <n v="0"/>
    <n v="0"/>
    <n v="114000"/>
    <n v="182000"/>
    <n v="148000"/>
    <x v="6"/>
    <n v="14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185"/>
    <s v="Radar Data Analyst"/>
    <n v="4.7"/>
    <s v="DECISIVE ANALYTICS Corporation"/>
    <s v="Huntsville | AL"/>
    <s v="Arlington | VA"/>
    <s v="51 - 200"/>
    <n v="1996"/>
    <x v="0"/>
    <s v="Aerospace &amp; Defense"/>
    <s v="Aerospace &amp; Defense"/>
    <s v="50 million "/>
    <s v="Torch Technologies, American Systems"/>
    <n v="0"/>
    <n v="0"/>
    <n v="42000"/>
    <n v="76000"/>
    <n v="59000"/>
    <x v="18"/>
    <n v="27"/>
    <n v="1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186"/>
    <s v="PL Actuarial-Lead Data Scientist"/>
    <n v="3.7"/>
    <s v="The Hanover Insurance Group"/>
    <s v="Worcester | MA"/>
    <s v="Worcester | MA"/>
    <s v="5001 - 10000"/>
    <n v="1852"/>
    <x v="3"/>
    <s v="Insurance Carriers"/>
    <s v="Insurance"/>
    <s v="10 billion"/>
    <s v="Unknown"/>
    <n v="0"/>
    <n v="0"/>
    <n v="114000"/>
    <n v="179000"/>
    <n v="146500"/>
    <x v="8"/>
    <n v="171"/>
    <n v="1"/>
    <n v="0"/>
    <n v="0"/>
    <n v="1"/>
    <n v="1"/>
    <n v="1"/>
    <n v="0"/>
    <n v="0"/>
    <n v="0"/>
    <n v="0"/>
    <n v="0"/>
    <n v="0"/>
    <n v="0"/>
    <n v="0"/>
    <n v="0"/>
    <n v="0"/>
    <x v="0"/>
    <s v="Senior "/>
    <s v="Masters"/>
  </r>
  <r>
    <n v="187"/>
    <s v="PV Scientist"/>
    <n v="2.9"/>
    <s v="Karyopharm Therapeutics Inc."/>
    <s v="Newton | MA"/>
    <s v="Newton | MA"/>
    <s v="201 - 500"/>
    <s v="Unknown"/>
    <x v="3"/>
    <s v="Biotech &amp; Pharmaceuticals"/>
    <s v="Biotech &amp; Pharmaceuticals"/>
    <s v="Unknown / Non-Applicable"/>
    <s v="Unknown"/>
    <n v="0"/>
    <n v="0"/>
    <n v="60000"/>
    <n v="123000"/>
    <n v="915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188"/>
    <s v="Senior Data &amp; Machine Learning Scientist"/>
    <n v="3"/>
    <s v="Tempus Labs"/>
    <s v="Chicago | IL"/>
    <s v="Chicago | IL"/>
    <s v="501 - 1000"/>
    <n v="2015"/>
    <x v="0"/>
    <s v="Biotech &amp; Pharmaceuticals"/>
    <s v="Biotech &amp; Pharmaceuticals"/>
    <s v="Unknown / Non-Applicable"/>
    <s v="Unknown"/>
    <n v="0"/>
    <n v="0"/>
    <n v="100000"/>
    <n v="166000"/>
    <n v="133000"/>
    <x v="11"/>
    <n v="8"/>
    <n v="1"/>
    <n v="0"/>
    <n v="1"/>
    <n v="0"/>
    <n v="1"/>
    <n v="0"/>
    <n v="0"/>
    <n v="1"/>
    <n v="1"/>
    <n v="1"/>
    <n v="0"/>
    <n v="0"/>
    <n v="0"/>
    <n v="0"/>
    <n v="0"/>
    <n v="0"/>
    <x v="7"/>
    <s v="Senior "/>
    <s v="Post Graduates"/>
  </r>
  <r>
    <n v="189"/>
    <s v="Principal Data Scientist (Computational Chemistry)"/>
    <n v="4.7"/>
    <s v="Recursion Pharmaceuticals"/>
    <s v="Salt | UT"/>
    <s v="Salt Lake City | UT"/>
    <s v="51 - 200"/>
    <n v="2013"/>
    <x v="0"/>
    <s v="Biotech &amp; Pharmaceuticals"/>
    <s v="Biotech &amp; Pharmaceuticals"/>
    <s v="5 million"/>
    <s v="Unknown"/>
    <n v="0"/>
    <n v="0"/>
    <n v="108000"/>
    <n v="173000"/>
    <n v="140500"/>
    <x v="29"/>
    <n v="10"/>
    <n v="1"/>
    <n v="0"/>
    <n v="1"/>
    <n v="0"/>
    <n v="0"/>
    <n v="0"/>
    <n v="1"/>
    <n v="1"/>
    <n v="1"/>
    <n v="1"/>
    <n v="0"/>
    <n v="0"/>
    <n v="0"/>
    <n v="0"/>
    <n v="0"/>
    <n v="0"/>
    <x v="0"/>
    <s v="Senior "/>
    <s v="Graduates"/>
  </r>
  <r>
    <n v="190"/>
    <s v="Data Engineer"/>
    <n v="3.7"/>
    <s v="P2 Energy Solutions"/>
    <s v="Lafayette | LA"/>
    <s v="Denver | CO"/>
    <s v="501 - 1000"/>
    <s v="Unknown"/>
    <x v="0"/>
    <s v="Computer Hardware &amp; Software"/>
    <s v="Information Technology"/>
    <s v="Unknown / Non-Applicable"/>
    <s v="Unknown"/>
    <n v="0"/>
    <n v="0"/>
    <n v="48000"/>
    <n v="93000"/>
    <n v="70500"/>
    <x v="23"/>
    <s v="Unknown"/>
    <n v="0"/>
    <n v="0"/>
    <n v="0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191"/>
    <s v="Principal Scientist, Chemistry &amp; Immun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192"/>
    <s v="Software Engineer - Data Visualization"/>
    <n v="4"/>
    <s v="ClearEdge"/>
    <s v="Annapolis | MD"/>
    <s v="Annapolis Junction | MD"/>
    <s v="51 - 200"/>
    <n v="2002"/>
    <x v="0"/>
    <s v="Computer Hardware &amp; Software"/>
    <s v="Information Technology"/>
    <s v="10 million "/>
    <s v="Unknown"/>
    <n v="0"/>
    <n v="0"/>
    <n v="60000"/>
    <n v="127000"/>
    <n v="93500"/>
    <x v="1"/>
    <n v="21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Masters"/>
  </r>
  <r>
    <n v="193"/>
    <s v="Scientist/Senior Scientist, Autoimmune"/>
    <n v="4.4000000000000004"/>
    <s v="Rubius Therapeutics"/>
    <s v="Cambridge | MA"/>
    <s v="Cambridge | MA"/>
    <s v="201 - 500"/>
    <n v="2013"/>
    <x v="3"/>
    <s v="Biotech &amp; Pharmaceuticals"/>
    <s v="Biotech &amp; Pharmaceuticals"/>
    <s v="500 million"/>
    <s v="Unknown"/>
    <n v="0"/>
    <n v="0"/>
    <n v="90000"/>
    <n v="179000"/>
    <n v="134500"/>
    <x v="8"/>
    <n v="10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194"/>
    <s v="Staff Machine Learning Engineer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138000"/>
    <n v="224000"/>
    <n v="181000"/>
    <x v="6"/>
    <n v="16"/>
    <n v="1"/>
    <n v="1"/>
    <n v="0"/>
    <n v="0"/>
    <n v="1"/>
    <n v="0"/>
    <n v="0"/>
    <n v="0"/>
    <n v="1"/>
    <n v="1"/>
    <n v="0"/>
    <n v="0"/>
    <n v="0"/>
    <n v="0"/>
    <n v="0"/>
    <n v="0"/>
    <x v="7"/>
    <s v="intermediate"/>
    <s v="Graduates"/>
  </r>
  <r>
    <n v="195"/>
    <s v="Principal Scientist, Hemat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196"/>
    <s v="Lead Data Engineer"/>
    <n v="4.0999999999999996"/>
    <s v="Credit Sesame"/>
    <s v="Mountain | CA"/>
    <s v="Mountain View | CA"/>
    <s v="51 - 200"/>
    <n v="2010"/>
    <x v="0"/>
    <s v="Internet"/>
    <s v="Information Technology"/>
    <s v="100 million "/>
    <s v="Credit Karma, LendUp, SoFi"/>
    <n v="0"/>
    <n v="0"/>
    <n v="190000"/>
    <n v="220000"/>
    <n v="205000"/>
    <x v="6"/>
    <n v="13"/>
    <n v="1"/>
    <n v="1"/>
    <n v="1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197"/>
    <s v="Marketing Data Analyst"/>
    <n v="3.6"/>
    <s v="San Manuel Casino"/>
    <s v="Highland | CA"/>
    <s v="Highland | CA"/>
    <s v="1001 - 5000"/>
    <n v="1986"/>
    <x v="0"/>
    <s v="Gambling"/>
    <s v="Arts, Entertainment &amp; Recreation"/>
    <s v="500 million"/>
    <s v="Unknown"/>
    <n v="0"/>
    <n v="0"/>
    <n v="35000"/>
    <n v="62000"/>
    <n v="48500"/>
    <x v="6"/>
    <n v="37"/>
    <n v="0"/>
    <n v="0"/>
    <n v="0"/>
    <n v="1"/>
    <n v="1"/>
    <n v="1"/>
    <n v="0"/>
    <n v="0"/>
    <n v="0"/>
    <n v="0"/>
    <n v="0"/>
    <n v="1"/>
    <n v="0"/>
    <n v="0"/>
    <n v="0"/>
    <n v="1"/>
    <x v="2"/>
    <s v="intermediate"/>
    <s v="Masters"/>
  </r>
  <r>
    <n v="198"/>
    <s v="Medical Laboratory Scientist"/>
    <n v="4"/>
    <s v="Texas Health Huguley Hospital"/>
    <s v="Burleson | TX"/>
    <s v="Arlington | TX"/>
    <s v="1001 - 5000"/>
    <n v="1977"/>
    <x v="4"/>
    <s v="Health Care Services &amp; Hospitals"/>
    <s v="Health Care"/>
    <s v="100 million "/>
    <s v="Unknown"/>
    <n v="1"/>
    <n v="0"/>
    <n v="37000"/>
    <n v="52000"/>
    <n v="44500"/>
    <x v="5"/>
    <n v="46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199"/>
    <s v="R&amp;D Specialist/ Food Scientist"/>
    <n v="2.4"/>
    <s v="Teasdale Latin Foods"/>
    <s v="Hoopeston | IL"/>
    <s v="Flower Mound | TX"/>
    <s v="501 - 1000"/>
    <s v="Unknown"/>
    <x v="0"/>
    <s v="Food &amp; Beverage Manufacturing"/>
    <s v="Manufacturing"/>
    <s v="500 million"/>
    <s v="Unknown"/>
    <n v="0"/>
    <n v="0"/>
    <n v="39000"/>
    <n v="66000"/>
    <n v="52500"/>
    <x v="11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00"/>
    <s v="Senior Research Scientist-Machine Learning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67000"/>
    <n v="124000"/>
    <x v="20"/>
    <n v="39"/>
    <n v="0"/>
    <n v="0"/>
    <n v="0"/>
    <n v="0"/>
    <n v="0"/>
    <n v="0"/>
    <n v="0"/>
    <n v="0"/>
    <n v="0"/>
    <n v="0"/>
    <n v="0"/>
    <n v="0"/>
    <n v="0"/>
    <n v="0"/>
    <n v="0"/>
    <n v="0"/>
    <x v="7"/>
    <s v="Senior "/>
    <s v="Post Graduates"/>
  </r>
  <r>
    <n v="201"/>
    <s v="Analytics Manager - Data Mart"/>
    <n v="3.5"/>
    <s v="Central California Alliance for Health"/>
    <s v="Scotts | CA"/>
    <s v="Scotts Valley | CA"/>
    <s v="501 - 1000"/>
    <n v="1996"/>
    <x v="6"/>
    <s v="Health Care Services &amp; Hospitals"/>
    <s v="Health Care"/>
    <s v="750 million"/>
    <s v="Unknown"/>
    <n v="0"/>
    <n v="0"/>
    <n v="42000"/>
    <n v="86000"/>
    <n v="64000"/>
    <x v="6"/>
    <n v="27"/>
    <n v="0"/>
    <n v="0"/>
    <n v="0"/>
    <n v="0"/>
    <n v="1"/>
    <n v="0"/>
    <n v="0"/>
    <n v="0"/>
    <n v="0"/>
    <n v="0"/>
    <n v="0"/>
    <n v="1"/>
    <n v="0"/>
    <n v="0"/>
    <n v="0"/>
    <n v="0"/>
    <x v="6"/>
    <s v="intermediate"/>
    <s v="Graduates"/>
  </r>
  <r>
    <n v="202"/>
    <s v="Sr. Data Engineer - Contract-to-Hire (Java)"/>
    <n v="3"/>
    <s v="Pilot Flying J Travel Centers LLC"/>
    <s v="Knoxville | TN"/>
    <s v="Knoxville | TN"/>
    <s v="10000+"/>
    <n v="1958"/>
    <x v="0"/>
    <s v="Gas Stations"/>
    <s v="Retail"/>
    <s v="10 billion "/>
    <s v="TravelCenters of America, Love's Travel Stops &amp; Country Stores, Wawa"/>
    <n v="0"/>
    <n v="0"/>
    <n v="69000"/>
    <n v="127000"/>
    <n v="98000"/>
    <x v="30"/>
    <n v="65"/>
    <n v="1"/>
    <n v="0"/>
    <n v="0"/>
    <n v="0"/>
    <n v="1"/>
    <n v="0"/>
    <n v="0"/>
    <n v="0"/>
    <n v="0"/>
    <n v="0"/>
    <n v="0"/>
    <n v="0"/>
    <n v="0"/>
    <n v="0"/>
    <n v="0"/>
    <n v="0"/>
    <x v="3"/>
    <s v="Senior "/>
    <s v="Masters"/>
  </r>
  <r>
    <n v="203"/>
    <s v="MED TECH/LAB SCIENTIST- SOUTH COASTAL LAB"/>
    <n v="3.6"/>
    <s v="Beebe Healthcare"/>
    <s v="Millville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04"/>
    <s v="Food Scientist - Developer"/>
    <n v="3.3"/>
    <s v="Palermo's Pizza"/>
    <s v="Milwaukee | WI"/>
    <s v="Milwaukee | WI"/>
    <s v="501 - 1000"/>
    <n v="1964"/>
    <x v="0"/>
    <s v="Food &amp; Beverage Manufacturing"/>
    <s v="Manufacturing"/>
    <s v="Unknown / Non-Applicable"/>
    <s v="Unknown"/>
    <n v="0"/>
    <n v="0"/>
    <n v="40000"/>
    <n v="68000"/>
    <n v="54000"/>
    <x v="24"/>
    <n v="59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05"/>
    <s v="Staff Scientist-Downstream Process Development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206"/>
    <s v="Sr. Data Engineer"/>
    <n v="3.4"/>
    <s v="Echo Global Logistics"/>
    <s v="Chicago | IL"/>
    <s v="Chicago | IL"/>
    <s v="1001 - 5000"/>
    <n v="2005"/>
    <x v="3"/>
    <s v="Transportation Management"/>
    <s v="Transportation &amp; Logistics"/>
    <s v="5 billion "/>
    <s v="C.H. Robinson, Total Quality Logistics, Coyote Logistics"/>
    <n v="0"/>
    <n v="0"/>
    <n v="75000"/>
    <n v="140000"/>
    <n v="107500"/>
    <x v="11"/>
    <n v="18"/>
    <n v="0"/>
    <n v="0"/>
    <n v="0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207"/>
    <s v="Data Scientist - Quantitative"/>
    <n v="3.8"/>
    <s v="Truckstop.com"/>
    <s v="Chicago | IL"/>
    <s v="New Plymouth | ID"/>
    <s v="501 - 1000"/>
    <n v="1995"/>
    <x v="0"/>
    <s v="Logistics &amp; Supply Chain"/>
    <s v="Transportation &amp; Logistics"/>
    <s v="Unknown / Non-Applicable"/>
    <s v="Unknown"/>
    <n v="0"/>
    <n v="0"/>
    <n v="86000"/>
    <n v="139000"/>
    <n v="112500"/>
    <x v="11"/>
    <n v="28"/>
    <n v="1"/>
    <n v="0"/>
    <n v="1"/>
    <n v="1"/>
    <n v="1"/>
    <n v="0"/>
    <n v="0"/>
    <n v="0"/>
    <n v="0"/>
    <n v="0"/>
    <n v="0"/>
    <n v="0"/>
    <n v="0"/>
    <n v="0"/>
    <n v="1"/>
    <n v="0"/>
    <x v="0"/>
    <s v="intermediate"/>
    <s v="Masters"/>
  </r>
  <r>
    <n v="208"/>
    <s v="Data Scientist"/>
    <n v="3.7"/>
    <s v="Lockheed Martin"/>
    <s v="Herndon | VA"/>
    <s v="Bethesda | MD"/>
    <s v="10000+"/>
    <n v="1995"/>
    <x v="3"/>
    <s v="Aerospace &amp; Defense"/>
    <s v="Aerospace &amp; Defense"/>
    <s v="10 billion "/>
    <s v="Boeing, Northrop Grumman, Raytheon"/>
    <n v="0"/>
    <n v="0"/>
    <n v="66000"/>
    <n v="112000"/>
    <n v="89000"/>
    <x v="7"/>
    <n v="28"/>
    <n v="1"/>
    <n v="1"/>
    <n v="0"/>
    <n v="1"/>
    <n v="1"/>
    <n v="0"/>
    <n v="0"/>
    <n v="0"/>
    <n v="0"/>
    <n v="0"/>
    <n v="1"/>
    <n v="1"/>
    <n v="0"/>
    <n v="0"/>
    <n v="0"/>
    <n v="0"/>
    <x v="0"/>
    <s v="intermediate"/>
    <s v="Graduates"/>
  </r>
  <r>
    <n v="209"/>
    <s v="Senior Research Statistician- Data Scientist"/>
    <n v="4.8"/>
    <s v="Acuity Insurance"/>
    <s v="Sheboygan | WI"/>
    <s v="Sheboygan | WI"/>
    <s v="1001 - 5000"/>
    <n v="1925"/>
    <x v="0"/>
    <s v="Insurance Carriers"/>
    <s v="Insurance"/>
    <s v="2 billion "/>
    <s v="Unknown"/>
    <n v="0"/>
    <n v="0"/>
    <n v="76000"/>
    <n v="125000"/>
    <n v="100500"/>
    <x v="24"/>
    <n v="98"/>
    <n v="0"/>
    <n v="0"/>
    <n v="0"/>
    <n v="0"/>
    <n v="0"/>
    <n v="1"/>
    <n v="0"/>
    <n v="0"/>
    <n v="0"/>
    <n v="0"/>
    <n v="0"/>
    <n v="0"/>
    <n v="0"/>
    <n v="0"/>
    <n v="0"/>
    <n v="0"/>
    <x v="0"/>
    <s v="Senior "/>
    <s v="Masters"/>
  </r>
  <r>
    <n v="210"/>
    <s v="Business Data Analyst, sql_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44000"/>
    <n v="86000"/>
    <n v="65000"/>
    <x v="4"/>
    <n v="21"/>
    <n v="0"/>
    <n v="0"/>
    <n v="0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211"/>
    <s v="Medical Technologist / Clinical Laboratory Scientist"/>
    <n v="3.4"/>
    <s v="Veterans Affairs, Veterans Health Administration"/>
    <s v="New | LA"/>
    <s v="Washington | DC"/>
    <s v="10000+"/>
    <n v="1930"/>
    <x v="2"/>
    <s v="Federal Agencies"/>
    <s v="Government"/>
    <s v="Unknown / Non-Applicable"/>
    <s v="Unknown"/>
    <n v="1"/>
    <n v="0"/>
    <n v="31000"/>
    <n v="52000"/>
    <n v="41500"/>
    <x v="23"/>
    <n v="93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212"/>
    <s v="Data Scientist"/>
    <n v="4.3"/>
    <s v="Credera"/>
    <s v="Dallas | TX"/>
    <s v="Dallas | TX"/>
    <s v="201 - 500"/>
    <n v="1999"/>
    <x v="5"/>
    <s v="Consulting"/>
    <s v="Business Services"/>
    <s v="Unknown / Non-Applicable"/>
    <s v="Unknown"/>
    <n v="0"/>
    <n v="0"/>
    <n v="53000"/>
    <n v="92000"/>
    <n v="72500"/>
    <x v="5"/>
    <n v="24"/>
    <n v="1"/>
    <n v="1"/>
    <n v="1"/>
    <n v="1"/>
    <n v="1"/>
    <n v="0"/>
    <n v="0"/>
    <n v="0"/>
    <n v="0"/>
    <n v="0"/>
    <n v="1"/>
    <n v="1"/>
    <n v="1"/>
    <n v="0"/>
    <n v="0"/>
    <n v="0"/>
    <x v="0"/>
    <s v="intermediate"/>
    <s v="Masters"/>
  </r>
  <r>
    <n v="213"/>
    <s v="Senior Data Analyst"/>
    <n v="4.8"/>
    <s v="KnowBe4"/>
    <s v="Clearwater | FL"/>
    <s v="Clearwater | FL"/>
    <s v="501 - 1000"/>
    <n v="2010"/>
    <x v="0"/>
    <s v="Security Services"/>
    <s v="Business Services"/>
    <s v="500 million"/>
    <s v="Unknown"/>
    <n v="0"/>
    <n v="0"/>
    <n v="44000"/>
    <n v="78000"/>
    <n v="61000"/>
    <x v="2"/>
    <n v="13"/>
    <n v="1"/>
    <n v="0"/>
    <n v="0"/>
    <n v="1"/>
    <n v="1"/>
    <n v="0"/>
    <n v="0"/>
    <n v="0"/>
    <n v="0"/>
    <n v="0"/>
    <n v="0"/>
    <n v="0"/>
    <n v="0"/>
    <n v="0"/>
    <n v="0"/>
    <n v="0"/>
    <x v="2"/>
    <s v="Senior "/>
    <s v="Masters"/>
  </r>
  <r>
    <n v="214"/>
    <s v="BI &amp; Platform Analytics Manager"/>
    <n v="3.4"/>
    <s v="Church &amp; Dwight"/>
    <s v="Ewing | NJ"/>
    <s v="Ewing | NJ"/>
    <s v="1001 - 5000"/>
    <n v="1846"/>
    <x v="3"/>
    <s v="Consumer Products Manufacturing"/>
    <s v="Manufacturing"/>
    <s v="5 billion "/>
    <s v="Unknown"/>
    <n v="0"/>
    <n v="0"/>
    <n v="85000"/>
    <n v="134000"/>
    <n v="109500"/>
    <x v="9"/>
    <n v="177"/>
    <n v="1"/>
    <n v="0"/>
    <n v="0"/>
    <n v="1"/>
    <n v="0"/>
    <n v="0"/>
    <n v="0"/>
    <n v="0"/>
    <n v="0"/>
    <n v="0"/>
    <n v="0"/>
    <n v="1"/>
    <n v="1"/>
    <n v="0"/>
    <n v="0"/>
    <n v="0"/>
    <x v="6"/>
    <s v="intermediate"/>
    <s v="Masters"/>
  </r>
  <r>
    <n v="215"/>
    <s v="Data Engineer"/>
    <n v="3.9"/>
    <s v="Cogo Labs"/>
    <s v="Cambridge | MA"/>
    <s v="Cambridge | MA"/>
    <s v="51 - 200"/>
    <n v="2005"/>
    <x v="0"/>
    <s v="Internet"/>
    <s v="Information Technology"/>
    <s v="Unknown / Non-Applicable"/>
    <s v="Unknown"/>
    <n v="0"/>
    <n v="0"/>
    <n v="59000"/>
    <n v="110000"/>
    <n v="84500"/>
    <x v="8"/>
    <n v="18"/>
    <n v="1"/>
    <n v="1"/>
    <n v="0"/>
    <n v="0"/>
    <n v="1"/>
    <n v="0"/>
    <n v="0"/>
    <n v="0"/>
    <n v="0"/>
    <n v="0"/>
    <n v="0"/>
    <n v="0"/>
    <n v="0"/>
    <n v="0"/>
    <n v="0"/>
    <n v="0"/>
    <x v="3"/>
    <s v="intermediate"/>
    <s v="Graduates"/>
  </r>
  <r>
    <n v="216"/>
    <s v="Data Scientist"/>
    <n v="3.4"/>
    <s v="Spectrum Communications and Consulting"/>
    <s v="Chicago | IL"/>
    <s v="Chicago | IL"/>
    <s v="51 - 200"/>
    <n v="1992"/>
    <x v="0"/>
    <s v="Advertising &amp; Marketing"/>
    <s v="Business Services"/>
    <s v="25 million"/>
    <s v="Unknown"/>
    <n v="0"/>
    <n v="0"/>
    <n v="64000"/>
    <n v="111000"/>
    <n v="87500"/>
    <x v="11"/>
    <n v="31"/>
    <n v="0"/>
    <n v="0"/>
    <n v="0"/>
    <n v="0"/>
    <n v="1"/>
    <n v="1"/>
    <n v="0"/>
    <n v="0"/>
    <n v="0"/>
    <n v="0"/>
    <n v="0"/>
    <n v="0"/>
    <n v="0"/>
    <n v="0"/>
    <n v="0"/>
    <n v="0"/>
    <x v="0"/>
    <s v="intermediate"/>
    <s v="Graduates"/>
  </r>
  <r>
    <n v="217"/>
    <s v="Data Analyst"/>
    <n v="3.1"/>
    <s v="NCSOFT"/>
    <s v="San | CA"/>
    <s v="Seoul | South Korea"/>
    <s v="1001 - 5000"/>
    <n v="1997"/>
    <x v="3"/>
    <s v="Video Games"/>
    <s v="Media"/>
    <s v="10 billion "/>
    <s v="Blizzard Entertainment, Riot Games, Electronic Arts"/>
    <n v="0"/>
    <n v="0"/>
    <n v="65000"/>
    <n v="120000"/>
    <n v="92500"/>
    <x v="6"/>
    <n v="26"/>
    <n v="1"/>
    <n v="0"/>
    <n v="0"/>
    <n v="1"/>
    <n v="1"/>
    <n v="0"/>
    <n v="0"/>
    <n v="0"/>
    <n v="0"/>
    <n v="0"/>
    <n v="1"/>
    <n v="1"/>
    <n v="0"/>
    <n v="0"/>
    <n v="0"/>
    <n v="0"/>
    <x v="2"/>
    <s v="intermediate"/>
    <s v="Graduates"/>
  </r>
  <r>
    <n v="218"/>
    <s v="Associate Data Scientist/Computer Scientist"/>
    <n v="3.2"/>
    <s v="MITRE"/>
    <s v="McLean | VA"/>
    <s v="Bedford | MA"/>
    <s v="5001 - 10000"/>
    <n v="1958"/>
    <x v="6"/>
    <s v="Federal Agencies"/>
    <s v="Government"/>
    <s v="2 billion "/>
    <s v="Battelle, General Atomics, SAIC"/>
    <n v="0"/>
    <n v="0"/>
    <n v="60000"/>
    <n v="103000"/>
    <n v="81500"/>
    <x v="7"/>
    <n v="65"/>
    <n v="1"/>
    <n v="1"/>
    <n v="0"/>
    <n v="0"/>
    <n v="0"/>
    <n v="0"/>
    <n v="0"/>
    <n v="0"/>
    <n v="0"/>
    <n v="0"/>
    <n v="1"/>
    <n v="0"/>
    <n v="0"/>
    <n v="0"/>
    <n v="0"/>
    <n v="0"/>
    <x v="0"/>
    <s v="intermediate"/>
    <s v="Graduates"/>
  </r>
  <r>
    <n v="219"/>
    <s v="Business Intelligence Analyst / Developer"/>
    <n v="4.3"/>
    <s v="Dayton Freight Lines, Inc."/>
    <s v="Dayton | OH"/>
    <s v="Dayton | OH"/>
    <s v="1001 - 5000"/>
    <n v="1981"/>
    <x v="0"/>
    <s v="Trucking"/>
    <s v="Transportation &amp; Logistics"/>
    <s v="Unknown / Non-Applicable"/>
    <s v="Old Dominion Freight, Pitt Ohio Express"/>
    <n v="0"/>
    <n v="0"/>
    <n v="53000"/>
    <n v="105000"/>
    <n v="79000"/>
    <x v="17"/>
    <n v="42"/>
    <n v="0"/>
    <n v="0"/>
    <n v="0"/>
    <n v="0"/>
    <n v="1"/>
    <n v="0"/>
    <n v="0"/>
    <n v="0"/>
    <n v="0"/>
    <n v="0"/>
    <n v="0"/>
    <n v="0"/>
    <n v="0"/>
    <n v="0"/>
    <n v="0"/>
    <n v="0"/>
    <x v="2"/>
    <s v="intermediate"/>
    <s v="Graduates"/>
  </r>
  <r>
    <n v="220"/>
    <s v="Lead Data Scientist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124000"/>
    <n v="204000"/>
    <n v="164000"/>
    <x v="8"/>
    <n v="172"/>
    <n v="1"/>
    <n v="1"/>
    <n v="1"/>
    <n v="0"/>
    <n v="1"/>
    <n v="0"/>
    <n v="0"/>
    <n v="0"/>
    <n v="1"/>
    <n v="0"/>
    <n v="1"/>
    <n v="0"/>
    <n v="0"/>
    <n v="0"/>
    <n v="0"/>
    <n v="0"/>
    <x v="0"/>
    <s v="Senior "/>
    <s v="Post Graduates"/>
  </r>
  <r>
    <n v="221"/>
    <s v="Sr. Data Scientist - Analytics, Personalized Healthcare (PHC)"/>
    <n v="3.9"/>
    <s v="Genentech"/>
    <s v="South | CA"/>
    <s v="South San Francisco | CA"/>
    <s v="10000+"/>
    <n v="1976"/>
    <x v="5"/>
    <s v="Biotech &amp; Pharmaceuticals"/>
    <s v="Biotech &amp; Pharmaceuticals"/>
    <s v="10 billion "/>
    <s v="Unknown"/>
    <n v="0"/>
    <n v="0"/>
    <n v="131000"/>
    <n v="207000"/>
    <n v="169000"/>
    <x v="6"/>
    <n v="47"/>
    <n v="1"/>
    <n v="1"/>
    <n v="0"/>
    <n v="1"/>
    <n v="1"/>
    <n v="0"/>
    <n v="0"/>
    <n v="0"/>
    <n v="0"/>
    <n v="0"/>
    <n v="1"/>
    <n v="0"/>
    <n v="0"/>
    <n v="0"/>
    <n v="0"/>
    <n v="0"/>
    <x v="0"/>
    <s v="Senior "/>
    <s v="Post Graduates"/>
  </r>
  <r>
    <n v="222"/>
    <s v="Senior Data Scientist"/>
    <n v="3.8"/>
    <s v="Juniper Networks"/>
    <s v="Cupertino | CA"/>
    <s v="Sunnyvale | CA"/>
    <s v="5001 - 10000"/>
    <n v="1996"/>
    <x v="3"/>
    <s v="Telecommunications Services"/>
    <s v="Telecommunications"/>
    <s v="5 billion "/>
    <s v="Unknown"/>
    <n v="0"/>
    <n v="0"/>
    <n v="110000"/>
    <n v="174000"/>
    <n v="142000"/>
    <x v="6"/>
    <n v="27"/>
    <n v="1"/>
    <n v="1"/>
    <n v="1"/>
    <n v="1"/>
    <n v="0"/>
    <n v="0"/>
    <n v="0"/>
    <n v="0"/>
    <n v="1"/>
    <n v="1"/>
    <n v="0"/>
    <n v="0"/>
    <n v="0"/>
    <n v="1"/>
    <n v="0"/>
    <n v="0"/>
    <x v="0"/>
    <s v="Senior "/>
    <s v="Post Graduates"/>
  </r>
  <r>
    <n v="223"/>
    <s v="Data Analyst"/>
    <n v="2.8"/>
    <s v="Community Action Partnership of San Luis Obispo"/>
    <s v="Parlier | CA"/>
    <s v="San Luis Obispo | CA"/>
    <s v="501 - 1000"/>
    <s v="Unknown"/>
    <x v="6"/>
    <s v="Social Assistance"/>
    <s v="Non-Profit"/>
    <s v="100 million "/>
    <s v="Unknown"/>
    <n v="0"/>
    <n v="0"/>
    <n v="33000"/>
    <n v="62000"/>
    <n v="47500"/>
    <x v="6"/>
    <s v="Unknown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224"/>
    <s v="Pricipal Scientist Molecular and cellular biologist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52000"/>
    <n v="101000"/>
    <n v="76500"/>
    <x v="8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225"/>
    <s v="Data Analyst"/>
    <n v="3.4"/>
    <s v="TrueAccord"/>
    <s v="San | CA"/>
    <s v="San Francisco | CA"/>
    <s v="51 - 200"/>
    <n v="2013"/>
    <x v="0"/>
    <s v="Enterprise Software &amp; Network Solutions"/>
    <s v="Information Technology"/>
    <s v="Unknown / Non-Applicable"/>
    <s v="Unknown"/>
    <n v="0"/>
    <n v="0"/>
    <n v="48000"/>
    <n v="90000"/>
    <n v="69000"/>
    <x v="6"/>
    <n v="10"/>
    <n v="1"/>
    <n v="0"/>
    <n v="0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226"/>
    <s v="Data Analyst"/>
    <n v="4"/>
    <s v="DRB Systems"/>
    <s v="Meridian | ID"/>
    <s v="Akron | OH"/>
    <s v="201 - 500"/>
    <n v="1984"/>
    <x v="0"/>
    <s v="Computer Hardware &amp; Software"/>
    <s v="Information Technology"/>
    <s v="100 million "/>
    <s v="Unknown"/>
    <n v="0"/>
    <n v="0"/>
    <n v="34000"/>
    <n v="64000"/>
    <n v="49000"/>
    <x v="32"/>
    <n v="39"/>
    <n v="1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Graduates"/>
  </r>
  <r>
    <n v="227"/>
    <s v="Staff Data Scientist"/>
    <n v="3.5"/>
    <s v="Western Digital"/>
    <s v="San | CA"/>
    <s v="San Jose | CA"/>
    <s v="10000+"/>
    <n v="1970"/>
    <x v="3"/>
    <s v="Computer Hardware &amp; Software"/>
    <s v="Information Technology"/>
    <s v="10 billion "/>
    <s v="Seagate Technology, Toshiba"/>
    <n v="0"/>
    <n v="0"/>
    <n v="132000"/>
    <n v="211000"/>
    <n v="171500"/>
    <x v="6"/>
    <n v="53"/>
    <n v="1"/>
    <n v="0"/>
    <n v="1"/>
    <n v="0"/>
    <n v="1"/>
    <n v="0"/>
    <n v="0"/>
    <n v="0"/>
    <n v="0"/>
    <n v="0"/>
    <n v="1"/>
    <n v="0"/>
    <n v="0"/>
    <n v="0"/>
    <n v="0"/>
    <n v="0"/>
    <x v="0"/>
    <s v="intermediate"/>
    <s v="Masters"/>
  </r>
  <r>
    <n v="228"/>
    <s v="Data Scientist (Actuary, FSA or ASA)"/>
    <n v="3.8"/>
    <s v="Legal &amp; General America"/>
    <s v="Frederick | MD"/>
    <s v="Frederick | MD"/>
    <s v="501 - 1000"/>
    <n v="1981"/>
    <x v="0"/>
    <s v="Insurance Carriers"/>
    <s v="Insurance"/>
    <s v="750 million"/>
    <s v="Unknown"/>
    <n v="0"/>
    <n v="0"/>
    <n v="81000"/>
    <n v="133000"/>
    <n v="107000"/>
    <x v="1"/>
    <n v="42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Masters"/>
  </r>
  <r>
    <n v="229"/>
    <s v="System and Data Analyst"/>
    <n v="3.7"/>
    <s v="Corcentric"/>
    <s v="Cherry | NJ"/>
    <s v="Cherry Hill | NJ"/>
    <s v="201 - 500"/>
    <n v="1996"/>
    <x v="0"/>
    <s v="Enterprise Software &amp; Network Solutions"/>
    <s v="Information Technology"/>
    <s v="Unknown / Non-Applicable"/>
    <s v="Unknown"/>
    <n v="0"/>
    <n v="0"/>
    <n v="42000"/>
    <n v="76000"/>
    <n v="59000"/>
    <x v="9"/>
    <n v="27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Masters"/>
  </r>
  <r>
    <n v="230"/>
    <s v="Data Scientist"/>
    <n v="3.5"/>
    <s v="U.Group"/>
    <s v="Indianapolis | IN"/>
    <s v="Arlington | VA"/>
    <s v="201 - 500"/>
    <n v="2019"/>
    <x v="0"/>
    <s v="IT Services"/>
    <s v="Information Technology"/>
    <s v="50 million "/>
    <s v="Unknown"/>
    <n v="0"/>
    <n v="0"/>
    <n v="66000"/>
    <n v="111000"/>
    <n v="88500"/>
    <x v="22"/>
    <n v="4"/>
    <n v="0"/>
    <n v="0"/>
    <n v="1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231"/>
    <s v="Data Engineer 5 - Contract (Remote)"/>
    <n v="4.2"/>
    <s v="The Church of Jesus Christ of Latter-day Saints"/>
    <s v="Riverton | UT"/>
    <s v="Salt Lake City | UT"/>
    <s v="10000+"/>
    <s v="Unknown"/>
    <x v="6"/>
    <s v="Religious Organizations"/>
    <s v="Non-Profit"/>
    <s v="Unknown / Non-Applicable"/>
    <s v="Unknown"/>
    <n v="0"/>
    <n v="0"/>
    <n v="74000"/>
    <n v="140000"/>
    <n v="107000"/>
    <x v="29"/>
    <s v="Unknown"/>
    <n v="0"/>
    <n v="0"/>
    <n v="0"/>
    <n v="1"/>
    <n v="0"/>
    <n v="0"/>
    <n v="0"/>
    <n v="0"/>
    <n v="0"/>
    <n v="0"/>
    <n v="0"/>
    <n v="0"/>
    <n v="0"/>
    <n v="0"/>
    <n v="0"/>
    <n v="0"/>
    <x v="3"/>
    <s v="intermediate"/>
    <s v="Masters"/>
  </r>
  <r>
    <n v="232"/>
    <s v="Digital Health Data Scientist"/>
    <n v="4"/>
    <s v="Pfizer"/>
    <s v="Cambridge | MA"/>
    <s v="New York | NY"/>
    <s v="10000+"/>
    <n v="1849"/>
    <x v="3"/>
    <s v="Biotech &amp; Pharmaceuticals"/>
    <s v="Biotech &amp; Pharmaceuticals"/>
    <s v="10 billion "/>
    <s v="Unknown"/>
    <n v="0"/>
    <n v="0"/>
    <n v="63000"/>
    <n v="110000"/>
    <n v="86500"/>
    <x v="8"/>
    <n v="174"/>
    <n v="1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233"/>
    <s v="Data Scientist"/>
    <n v="4.3"/>
    <s v="SMC 3"/>
    <s v="Louisville | KY"/>
    <s v="Peachtree City | GA"/>
    <s v="51 - 200"/>
    <n v="1935"/>
    <x v="6"/>
    <s v="Logistics &amp; Supply Chain"/>
    <s v="Transportation &amp; Logistics"/>
    <s v="25 million"/>
    <s v="Unknown"/>
    <n v="0"/>
    <n v="0"/>
    <n v="63000"/>
    <n v="105000"/>
    <n v="84000"/>
    <x v="12"/>
    <n v="88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Masters"/>
  </r>
  <r>
    <n v="234"/>
    <s v="Data &amp; Analytics Consultant (NYC)"/>
    <n v="4.7"/>
    <s v="Systems Evolution Inc."/>
    <s v="New | NY"/>
    <s v="Cincinnati | OH"/>
    <s v="201 - 500"/>
    <n v="1992"/>
    <x v="0"/>
    <s v="Consulting"/>
    <s v="Business Services"/>
    <s v="100 million "/>
    <s v="Unknown"/>
    <n v="0"/>
    <n v="0"/>
    <n v="91000"/>
    <n v="138000"/>
    <n v="114500"/>
    <x v="4"/>
    <n v="31"/>
    <n v="1"/>
    <n v="0"/>
    <n v="0"/>
    <n v="1"/>
    <n v="1"/>
    <n v="0"/>
    <n v="0"/>
    <n v="0"/>
    <n v="0"/>
    <n v="0"/>
    <n v="0"/>
    <n v="1"/>
    <n v="0"/>
    <n v="0"/>
    <n v="0"/>
    <n v="0"/>
    <x v="4"/>
    <s v="intermediate"/>
    <s v="Masters"/>
  </r>
  <r>
    <n v="235"/>
    <s v="Senior Scientist - Neuroscience"/>
    <n v="3.5"/>
    <s v="Sunovion"/>
    <s v="Marlborough | MA"/>
    <s v="Marlborough | MA"/>
    <s v="1001 - 5000"/>
    <n v="2010"/>
    <x v="0"/>
    <s v="Biotech &amp; Pharmaceuticals"/>
    <s v="Biotech &amp; Pharmaceuticals"/>
    <s v="2 billion "/>
    <s v="Shire, GlaxoSmithKline, Allergan"/>
    <n v="0"/>
    <n v="0"/>
    <n v="100000"/>
    <n v="190000"/>
    <n v="145000"/>
    <x v="8"/>
    <n v="13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236"/>
    <s v="Data Engineer"/>
    <n v="4.4000000000000004"/>
    <s v="Eventbrite"/>
    <s v="Nashville | TN"/>
    <s v="San Francisco | CA"/>
    <s v="1001 - 5000"/>
    <n v="2006"/>
    <x v="3"/>
    <s v="Internet"/>
    <s v="Information Technology"/>
    <s v="500 million"/>
    <s v="See Tickets, TicketWeb, Vendini"/>
    <n v="0"/>
    <n v="0"/>
    <n v="62000"/>
    <n v="114000"/>
    <n v="88000"/>
    <x v="30"/>
    <n v="17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237"/>
    <s v="Big Data Engineer - Chicago - Future Opportunity"/>
    <n v="4.0999999999999996"/>
    <s v="Centro"/>
    <s v="Chicago | IL"/>
    <s v="Chicago | IL"/>
    <s v="501 - 1000"/>
    <n v="2001"/>
    <x v="0"/>
    <s v="Internet"/>
    <s v="Information Technology"/>
    <s v="500 million"/>
    <s v="Mediaocean, The Trade Desk, MediaMath"/>
    <n v="0"/>
    <n v="0"/>
    <n v="71000"/>
    <n v="129000"/>
    <n v="100000"/>
    <x v="11"/>
    <n v="22"/>
    <n v="1"/>
    <n v="1"/>
    <n v="1"/>
    <n v="0"/>
    <n v="1"/>
    <n v="0"/>
    <n v="0"/>
    <n v="0"/>
    <n v="0"/>
    <n v="0"/>
    <n v="1"/>
    <n v="0"/>
    <n v="0"/>
    <n v="0"/>
    <n v="0"/>
    <n v="0"/>
    <x v="3"/>
    <s v="intermediate"/>
    <s v="Graduates"/>
  </r>
  <r>
    <n v="238"/>
    <s v="Senior Data Analyst"/>
    <n v="2.9"/>
    <s v="National Student Clearinghouse"/>
    <s v="Herndon | VA"/>
    <s v="Herndon | VA"/>
    <s v="201 - 500"/>
    <n v="1993"/>
    <x v="6"/>
    <s v="Colleges &amp; Universities"/>
    <s v="Education"/>
    <s v="50 million "/>
    <s v="Ellucian, Parchment, College Board"/>
    <n v="0"/>
    <n v="0"/>
    <n v="43000"/>
    <n v="80000"/>
    <n v="61500"/>
    <x v="7"/>
    <n v="30"/>
    <n v="1"/>
    <n v="0"/>
    <n v="0"/>
    <n v="1"/>
    <n v="1"/>
    <n v="0"/>
    <n v="0"/>
    <n v="0"/>
    <n v="0"/>
    <n v="0"/>
    <n v="0"/>
    <n v="1"/>
    <n v="1"/>
    <n v="0"/>
    <n v="0"/>
    <n v="0"/>
    <x v="2"/>
    <s v="Senior "/>
    <s v="Masters"/>
  </r>
  <r>
    <n v="239"/>
    <s v="Data Scientist"/>
    <n v="2.5"/>
    <s v="comScore"/>
    <s v="Portland | OR"/>
    <s v="Reston | VA"/>
    <s v="1001 - 5000"/>
    <n v="1999"/>
    <x v="3"/>
    <s v="Advertising &amp; Marketing"/>
    <s v="Business Services"/>
    <s v="2 billion "/>
    <s v="Nielsen, Hitwise, Coremetrics"/>
    <n v="0"/>
    <n v="0"/>
    <n v="74000"/>
    <n v="119000"/>
    <n v="96500"/>
    <x v="13"/>
    <n v="24"/>
    <n v="1"/>
    <n v="1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240"/>
    <s v="Survey Data Analyst"/>
    <n v="4.2"/>
    <s v="SullivanCotter"/>
    <s v="Minneapolis | MN"/>
    <s v="Chicago | IL"/>
    <s v="201 - 500"/>
    <n v="1992"/>
    <x v="0"/>
    <s v="Consulting"/>
    <s v="Business Services"/>
    <s v="Unknown / Non-Applicable"/>
    <s v="Mercer, Korn Ferry, Integrated Healthcare Strategies"/>
    <n v="0"/>
    <n v="0"/>
    <n v="55000"/>
    <n v="97000"/>
    <n v="76000"/>
    <x v="28"/>
    <n v="31"/>
    <n v="1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241"/>
    <s v="Data Scientist"/>
    <n v="3.9"/>
    <s v="NPD"/>
    <s v="Port | NY"/>
    <s v="Port Washington | NY"/>
    <s v="1001 - 5000"/>
    <n v="1966"/>
    <x v="0"/>
    <s v="Research &amp; Development"/>
    <s v="Business Services"/>
    <s v="500 million"/>
    <s v="Unknown"/>
    <n v="0"/>
    <n v="0"/>
    <n v="15000"/>
    <n v="16000"/>
    <n v="15500"/>
    <x v="4"/>
    <n v="57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242"/>
    <s v="Data Scientist"/>
    <n v="4.3"/>
    <s v="Bakery Agency"/>
    <s v="Austin | TX"/>
    <s v="Austin | TX"/>
    <n v="500"/>
    <n v="2010"/>
    <x v="0"/>
    <s v="Advertising &amp; Marketing"/>
    <s v="Business Services"/>
    <s v="Unknown / Non-Applicable"/>
    <s v="Unknown"/>
    <n v="0"/>
    <n v="0"/>
    <n v="61000"/>
    <n v="106000"/>
    <n v="83500"/>
    <x v="5"/>
    <n v="13"/>
    <n v="1"/>
    <n v="0"/>
    <n v="0"/>
    <n v="1"/>
    <n v="1"/>
    <n v="0"/>
    <n v="0"/>
    <n v="0"/>
    <n v="0"/>
    <n v="0"/>
    <n v="0"/>
    <n v="0"/>
    <n v="0"/>
    <n v="0"/>
    <n v="0"/>
    <n v="1"/>
    <x v="0"/>
    <s v="intermediate"/>
    <s v="Graduates"/>
  </r>
  <r>
    <n v="243"/>
    <s v="Risk and Analytics IT, Data Scientist"/>
    <n v="2.7"/>
    <s v="State of Wisconsin Investment Board"/>
    <s v="Madison | WI"/>
    <s v="Madison | WI"/>
    <s v="51 - 200"/>
    <n v="1951"/>
    <x v="2"/>
    <s v="Investment Banking &amp; Asset Management"/>
    <s v="Finance"/>
    <s v="100 million "/>
    <s v="Unknown"/>
    <n v="0"/>
    <n v="0"/>
    <n v="91000"/>
    <n v="149000"/>
    <n v="120000"/>
    <x v="24"/>
    <n v="72"/>
    <n v="1"/>
    <n v="0"/>
    <n v="0"/>
    <n v="0"/>
    <n v="1"/>
    <n v="0"/>
    <n v="0"/>
    <n v="0"/>
    <n v="0"/>
    <n v="0"/>
    <n v="0"/>
    <n v="1"/>
    <n v="1"/>
    <n v="0"/>
    <n v="0"/>
    <n v="0"/>
    <x v="0"/>
    <s v="intermediate"/>
    <s v="Graduates"/>
  </r>
  <r>
    <n v="244"/>
    <s v="Data Scientist"/>
    <n v="3.9"/>
    <s v="Genentech"/>
    <s v="South | CA"/>
    <s v="South San Francisco | CA"/>
    <s v="10000+"/>
    <n v="1976"/>
    <x v="5"/>
    <s v="Biotech &amp; Pharmaceuticals"/>
    <s v="Biotech &amp; Pharmaceuticals"/>
    <s v="10 billion "/>
    <s v="Unknown"/>
    <n v="0"/>
    <n v="0"/>
    <n v="127000"/>
    <n v="199000"/>
    <n v="163000"/>
    <x v="6"/>
    <n v="47"/>
    <n v="0"/>
    <n v="0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245"/>
    <s v="Lead Health Data Analyst - Front End"/>
    <n v="3.4"/>
    <s v="Blue Cross &amp; Blue Shield of Rhode Island"/>
    <s v="Providence | RI"/>
    <s v="Providence | RI"/>
    <s v="501 - 1000"/>
    <n v="1939"/>
    <x v="6"/>
    <s v="Insurance Carriers"/>
    <s v="Insurance"/>
    <s v="Unknown / Non-Applicable"/>
    <s v="UnitedHealth Group"/>
    <n v="0"/>
    <n v="0"/>
    <n v="74000"/>
    <n v="126000"/>
    <n v="100000"/>
    <x v="33"/>
    <n v="84"/>
    <n v="0"/>
    <n v="0"/>
    <n v="1"/>
    <n v="0"/>
    <n v="1"/>
    <n v="1"/>
    <n v="0"/>
    <n v="0"/>
    <n v="0"/>
    <n v="0"/>
    <n v="0"/>
    <n v="0"/>
    <n v="0"/>
    <n v="0"/>
    <n v="0"/>
    <n v="0"/>
    <x v="2"/>
    <s v="Senior "/>
    <s v="Graduates"/>
  </r>
  <r>
    <n v="246"/>
    <s v="Research Scientist"/>
    <n v="3.8"/>
    <s v="Boys Town"/>
    <s v="Omaha | NE"/>
    <s v="Omaha | NE"/>
    <s v="1001 - 5000"/>
    <n v="1917"/>
    <x v="6"/>
    <s v="Social Assistance"/>
    <s v="Non-Profit"/>
    <s v="Unknown / Non-Applicable"/>
    <s v="Boys &amp; Girls Clubs of America, AdoptUSKids, Foster Care to Success"/>
    <n v="0"/>
    <n v="0"/>
    <n v="33000"/>
    <n v="72000"/>
    <n v="52500"/>
    <x v="27"/>
    <n v="106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247"/>
    <s v="Medical Lab Scientist"/>
    <n v="3.6"/>
    <s v="Tower Health"/>
    <s v="West | PA"/>
    <s v="Reading | PA"/>
    <s v="5001 - 10000"/>
    <n v="2017"/>
    <x v="6"/>
    <s v="Health Care Services &amp; Hospitals"/>
    <s v="Health Care"/>
    <s v="Unknown / Non-Applicable"/>
    <s v="Unknown"/>
    <n v="1"/>
    <n v="0"/>
    <n v="35000"/>
    <n v="49000"/>
    <n v="42000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48"/>
    <s v="Junior Data Analyst"/>
    <n v="3.3"/>
    <s v="The HSC Health Care System"/>
    <s v="Washington | DC"/>
    <s v="Washington | DC"/>
    <s v="501 - 1000"/>
    <n v="1883"/>
    <x v="6"/>
    <s v="Health Care Services &amp; Hospitals"/>
    <s v="Health Care"/>
    <s v="Unknown / Non-Applicable"/>
    <s v="Unknown"/>
    <n v="0"/>
    <n v="0"/>
    <n v="37000"/>
    <n v="63000"/>
    <n v="50000"/>
    <x v="16"/>
    <n v="140"/>
    <n v="0"/>
    <n v="0"/>
    <n v="0"/>
    <n v="1"/>
    <n v="1"/>
    <n v="0"/>
    <n v="0"/>
    <n v="0"/>
    <n v="0"/>
    <n v="0"/>
    <n v="0"/>
    <n v="1"/>
    <n v="1"/>
    <n v="0"/>
    <n v="0"/>
    <n v="0"/>
    <x v="2"/>
    <s v="Junior"/>
    <s v="Masters"/>
  </r>
  <r>
    <n v="249"/>
    <s v="sql_ Data Engineer"/>
    <n v="3.4"/>
    <s v="Pro-Sphere Tek"/>
    <s v="Austin | TX"/>
    <s v="Alexandria | VA"/>
    <s v="201 - 500"/>
    <n v="2006"/>
    <x v="0"/>
    <s v="Consulting"/>
    <s v="Business Services"/>
    <s v="100 million "/>
    <s v="Unknown"/>
    <n v="0"/>
    <n v="0"/>
    <n v="67000"/>
    <n v="119000"/>
    <n v="93000"/>
    <x v="5"/>
    <n v="17"/>
    <n v="1"/>
    <n v="0"/>
    <n v="1"/>
    <n v="0"/>
    <n v="1"/>
    <n v="0"/>
    <n v="0"/>
    <n v="0"/>
    <n v="0"/>
    <n v="0"/>
    <n v="1"/>
    <n v="1"/>
    <n v="1"/>
    <n v="0"/>
    <n v="0"/>
    <n v="0"/>
    <x v="3"/>
    <s v="intermediate"/>
    <s v="Masters"/>
  </r>
  <r>
    <n v="250"/>
    <s v="Data Scientist"/>
    <n v="3"/>
    <s v="Ameritas Life Insurance Corp"/>
    <s v="Cincinnati | OH"/>
    <s v="Lincoln | NE"/>
    <s v="1001 - 5000"/>
    <n v="1887"/>
    <x v="0"/>
    <s v="Insurance Agencies &amp; Brokerages"/>
    <s v="Insurance"/>
    <s v="5 billion "/>
    <s v="Unknown"/>
    <n v="0"/>
    <n v="0"/>
    <n v="72000"/>
    <n v="117000"/>
    <n v="94500"/>
    <x v="17"/>
    <n v="136"/>
    <n v="1"/>
    <n v="0"/>
    <n v="0"/>
    <n v="0"/>
    <n v="1"/>
    <n v="1"/>
    <n v="0"/>
    <n v="0"/>
    <n v="0"/>
    <n v="0"/>
    <n v="0"/>
    <n v="0"/>
    <n v="0"/>
    <n v="0"/>
    <n v="0"/>
    <n v="0"/>
    <x v="0"/>
    <s v="intermediate"/>
    <s v="Graduates"/>
  </r>
  <r>
    <n v="251"/>
    <s v="Senior Data Scientist"/>
    <n v="4"/>
    <s v="Autodesk"/>
    <s v="San | CA"/>
    <s v="San Rafael | CA"/>
    <s v="5001 - 10000"/>
    <n v="1982"/>
    <x v="3"/>
    <s v="Computer Hardware &amp; Software"/>
    <s v="Information Technology"/>
    <s v="5 billion "/>
    <s v="Unknown"/>
    <n v="0"/>
    <n v="0"/>
    <n v="116000"/>
    <n v="185000"/>
    <n v="150500"/>
    <x v="6"/>
    <n v="41"/>
    <n v="1"/>
    <n v="1"/>
    <n v="0"/>
    <n v="0"/>
    <n v="1"/>
    <n v="1"/>
    <n v="0"/>
    <n v="0"/>
    <n v="1"/>
    <n v="1"/>
    <n v="1"/>
    <n v="0"/>
    <n v="0"/>
    <n v="0"/>
    <n v="0"/>
    <n v="0"/>
    <x v="0"/>
    <s v="Senior "/>
    <s v="Post Graduates"/>
  </r>
  <r>
    <n v="252"/>
    <s v="Data Scientist"/>
    <n v="3.7"/>
    <s v="Genworth"/>
    <s v="Raleigh | NC"/>
    <s v="Richmond | VA"/>
    <s v="1001 - 5000"/>
    <n v="2004"/>
    <x v="3"/>
    <s v="Insurance Carriers"/>
    <s v="Insurance"/>
    <s v="10 billion"/>
    <s v="MetLife, Northwestern Mutual, Prudential"/>
    <n v="0"/>
    <n v="0"/>
    <n v="78000"/>
    <n v="126000"/>
    <n v="102000"/>
    <x v="25"/>
    <n v="19"/>
    <n v="1"/>
    <n v="1"/>
    <n v="1"/>
    <n v="1"/>
    <n v="1"/>
    <n v="1"/>
    <n v="0"/>
    <n v="0"/>
    <n v="1"/>
    <n v="0"/>
    <n v="1"/>
    <n v="1"/>
    <n v="0"/>
    <n v="0"/>
    <n v="0"/>
    <n v="0"/>
    <x v="0"/>
    <s v="intermediate"/>
    <s v="Masters"/>
  </r>
  <r>
    <n v="253"/>
    <s v="Scientist, Analytical Development"/>
    <n v="4.4000000000000004"/>
    <s v="Rubius Therapeutics"/>
    <s v="Cambridge | MA"/>
    <s v="Cambridge | MA"/>
    <s v="201 - 500"/>
    <n v="2013"/>
    <x v="3"/>
    <s v="Biotech &amp; Pharmaceuticals"/>
    <s v="Biotech &amp; Pharmaceuticals"/>
    <s v="500 million"/>
    <s v="Unknown"/>
    <n v="0"/>
    <n v="0"/>
    <n v="42000"/>
    <n v="82000"/>
    <n v="62000"/>
    <x v="8"/>
    <n v="10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254"/>
    <s v="Analytics Manager"/>
    <n v="4.3"/>
    <s v="OneMagnify"/>
    <s v="Dearborn | MI"/>
    <s v="Detroit | MI"/>
    <s v="201 - 500"/>
    <n v="1967"/>
    <x v="0"/>
    <s v="Advertising &amp; Marketing"/>
    <s v="Business Services"/>
    <s v="Unknown / Non-Applicable"/>
    <s v="Unknown"/>
    <n v="0"/>
    <n v="0"/>
    <n v="59000"/>
    <n v="116000"/>
    <n v="87500"/>
    <x v="15"/>
    <n v="56"/>
    <n v="0"/>
    <n v="0"/>
    <n v="0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255"/>
    <s v="Clinical Data Scientist"/>
    <n v="4"/>
    <s v="Pfizer"/>
    <s v="Groton | CT"/>
    <s v="New York | NY"/>
    <s v="10000+"/>
    <n v="1849"/>
    <x v="3"/>
    <s v="Biotech &amp; Pharmaceuticals"/>
    <s v="Biotech &amp; Pharmaceuticals"/>
    <s v="10 billion "/>
    <s v="Unknown"/>
    <n v="0"/>
    <n v="0"/>
    <n v="63000"/>
    <n v="105000"/>
    <n v="84000"/>
    <x v="14"/>
    <n v="174"/>
    <n v="0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256"/>
    <s v="Data Scientist"/>
    <n v="4"/>
    <s v="Novetta"/>
    <s v="Herndon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109000"/>
    <n v="177000"/>
    <n v="143000"/>
    <x v="7"/>
    <n v="11"/>
    <n v="1"/>
    <n v="0"/>
    <n v="1"/>
    <n v="0"/>
    <n v="0"/>
    <n v="0"/>
    <n v="1"/>
    <n v="0"/>
    <n v="0"/>
    <n v="1"/>
    <n v="0"/>
    <n v="0"/>
    <n v="0"/>
    <n v="0"/>
    <n v="0"/>
    <n v="0"/>
    <x v="0"/>
    <s v="intermediate"/>
    <s v="Graduates"/>
  </r>
  <r>
    <n v="257"/>
    <s v="Sr. Data Scientist, Cyber-Security LT Contract"/>
    <n v="3.2"/>
    <s v="Numeric, LLC"/>
    <s v="Phila | PA"/>
    <s v="Chadds Ford | PA"/>
    <n v="500"/>
    <s v="Unknown"/>
    <x v="0"/>
    <s v="Staffing &amp; Outsourcing"/>
    <s v="Business Services"/>
    <s v="10 million "/>
    <s v="Unknown"/>
    <n v="0"/>
    <n v="0"/>
    <n v="116000"/>
    <n v="194000"/>
    <n v="155000"/>
    <x v="20"/>
    <s v="Unknown"/>
    <n v="1"/>
    <n v="1"/>
    <n v="1"/>
    <n v="1"/>
    <n v="0"/>
    <n v="0"/>
    <n v="0"/>
    <n v="0"/>
    <n v="1"/>
    <n v="0"/>
    <n v="1"/>
    <n v="0"/>
    <n v="0"/>
    <n v="0"/>
    <n v="0"/>
    <n v="0"/>
    <x v="0"/>
    <s v="Senior "/>
    <s v="Masters"/>
  </r>
  <r>
    <n v="258"/>
    <s v="Data Engineer"/>
    <n v="4.2"/>
    <s v="IZEA"/>
    <s v="Winter | FL"/>
    <s v="Winter Park | FL"/>
    <s v="51 - 200"/>
    <n v="2006"/>
    <x v="3"/>
    <s v="Advertising &amp; Marketing"/>
    <s v="Business Services"/>
    <s v="50 million "/>
    <s v="Linqia, Collective Bias"/>
    <n v="0"/>
    <n v="0"/>
    <n v="48000"/>
    <n v="95000"/>
    <n v="71500"/>
    <x v="2"/>
    <n v="17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259"/>
    <s v="Data Scientist"/>
    <n v="3.9"/>
    <s v="Trace Data"/>
    <s v="Oakland | CA"/>
    <s v="Santa Ana | CA"/>
    <s v="51 - 200"/>
    <n v="2000"/>
    <x v="0"/>
    <s v="Insurance Carriers"/>
    <s v="Insurance"/>
    <s v="25 million"/>
    <s v="Unknown"/>
    <n v="0"/>
    <n v="0"/>
    <n v="83000"/>
    <n v="133000"/>
    <n v="108000"/>
    <x v="6"/>
    <n v="23"/>
    <n v="1"/>
    <n v="1"/>
    <n v="0"/>
    <n v="0"/>
    <n v="1"/>
    <n v="1"/>
    <n v="0"/>
    <n v="1"/>
    <n v="1"/>
    <n v="1"/>
    <n v="0"/>
    <n v="0"/>
    <n v="0"/>
    <n v="0"/>
    <n v="0"/>
    <n v="0"/>
    <x v="0"/>
    <s v="intermediate"/>
    <s v="Masters"/>
  </r>
  <r>
    <n v="260"/>
    <s v="Sr. Scientist - Digital &amp; Image Analysis/Computational Pathology"/>
    <n v="3.7"/>
    <s v="Takeda Pharmaceuticals"/>
    <s v="San | CA"/>
    <s v="OSAKA | Japan"/>
    <s v="10000+"/>
    <n v="1781"/>
    <x v="3"/>
    <s v="Biotech &amp; Pharmaceuticals"/>
    <s v="Biotech &amp; Pharmaceuticals"/>
    <s v="10 billion "/>
    <s v="Novartis, Baxter, Pfizer"/>
    <n v="0"/>
    <n v="0"/>
    <n v="105000"/>
    <n v="198000"/>
    <n v="151500"/>
    <x v="6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261"/>
    <s v="Digital Marketing &amp; ECommerce Data Analyst"/>
    <n v="3.6"/>
    <s v="Vionic Group"/>
    <s v="San | CA"/>
    <s v="San Rafael | CA"/>
    <s v="51 - 200"/>
    <n v="2006"/>
    <x v="5"/>
    <s v="Department, Clothing, &amp; Shoe Stores"/>
    <s v="Retail"/>
    <s v="500 million"/>
    <s v="Unknown"/>
    <n v="0"/>
    <n v="0"/>
    <n v="31000"/>
    <n v="72000"/>
    <n v="51500"/>
    <x v="6"/>
    <n v="17"/>
    <n v="0"/>
    <n v="0"/>
    <n v="0"/>
    <n v="1"/>
    <n v="0"/>
    <n v="0"/>
    <n v="0"/>
    <n v="0"/>
    <n v="0"/>
    <n v="0"/>
    <n v="0"/>
    <n v="0"/>
    <n v="0"/>
    <n v="0"/>
    <n v="0"/>
    <n v="1"/>
    <x v="2"/>
    <s v="intermediate"/>
    <s v="Graduates"/>
  </r>
  <r>
    <n v="262"/>
    <s v="Principal Scientist - Immunologist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98000"/>
    <n v="182000"/>
    <n v="140000"/>
    <x v="8"/>
    <n v="242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263"/>
    <s v="Senior Data Analyst"/>
    <n v="2.8"/>
    <s v="Dodge Data &amp; Analytics"/>
    <s v="Hamilton | NJ"/>
    <s v="Hamilton | NJ"/>
    <s v="201 - 500"/>
    <n v="2014"/>
    <x v="0"/>
    <s v="IT Services"/>
    <s v="Information Technology"/>
    <s v="Unknown / Non-Applicable"/>
    <s v="Unknown"/>
    <n v="0"/>
    <n v="0"/>
    <n v="55000"/>
    <n v="100000"/>
    <n v="77500"/>
    <x v="9"/>
    <n v="9"/>
    <n v="1"/>
    <n v="0"/>
    <n v="0"/>
    <n v="1"/>
    <n v="1"/>
    <n v="0"/>
    <n v="0"/>
    <n v="0"/>
    <n v="0"/>
    <n v="0"/>
    <n v="0"/>
    <n v="1"/>
    <n v="0"/>
    <n v="0"/>
    <n v="0"/>
    <n v="0"/>
    <x v="2"/>
    <s v="Senior "/>
    <s v="Graduates"/>
  </r>
  <r>
    <n v="264"/>
    <s v="Insurance Financial Data Analyst"/>
    <n v="4.2"/>
    <s v="Clearwater Analytics"/>
    <s v="Boise | ID"/>
    <s v="Boise | ID"/>
    <s v="501 - 1000"/>
    <n v="2004"/>
    <x v="0"/>
    <s v="Investment Banking &amp; Asset Management"/>
    <s v="Finance"/>
    <s v="100 million "/>
    <s v="Unknown"/>
    <n v="0"/>
    <n v="0"/>
    <n v="45000"/>
    <n v="82000"/>
    <n v="63500"/>
    <x v="32"/>
    <n v="19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265"/>
    <s v="Data Scientist"/>
    <n v="4"/>
    <s v="Tekvalley, Corp."/>
    <s v="San | CA"/>
    <s v="Pleasanton | CA"/>
    <n v="500"/>
    <s v="Unknown"/>
    <x v="0"/>
    <s v="IT Services"/>
    <s v="Information Technology"/>
    <s v="1 million"/>
    <s v="Unknown"/>
    <n v="0"/>
    <n v="0"/>
    <n v="83000"/>
    <n v="135000"/>
    <n v="109000"/>
    <x v="6"/>
    <s v="Unknown"/>
    <n v="1"/>
    <n v="0"/>
    <n v="0"/>
    <n v="0"/>
    <n v="1"/>
    <n v="0"/>
    <n v="0"/>
    <n v="0"/>
    <n v="0"/>
    <n v="0"/>
    <n v="0"/>
    <n v="1"/>
    <n v="0"/>
    <n v="0"/>
    <n v="0"/>
    <n v="0"/>
    <x v="0"/>
    <s v="intermediate"/>
    <s v="Graduates"/>
  </r>
  <r>
    <n v="266"/>
    <s v="Data Scientist"/>
    <n v="3.5"/>
    <s v="BWX Technologies"/>
    <s v="Oak | TN"/>
    <s v="Lynchburg | VA"/>
    <s v="5001 - 10000"/>
    <n v="1850"/>
    <x v="3"/>
    <s v="Aerospace &amp; Defense"/>
    <s v="Aerospace &amp; Defense"/>
    <s v="750 million"/>
    <s v="Unknown"/>
    <n v="0"/>
    <n v="0"/>
    <n v="70000"/>
    <n v="122000"/>
    <n v="96000"/>
    <x v="30"/>
    <n v="173"/>
    <n v="1"/>
    <n v="0"/>
    <n v="0"/>
    <n v="0"/>
    <n v="0"/>
    <n v="0"/>
    <n v="1"/>
    <n v="1"/>
    <n v="0"/>
    <n v="1"/>
    <n v="0"/>
    <n v="0"/>
    <n v="0"/>
    <n v="0"/>
    <n v="0"/>
    <n v="0"/>
    <x v="0"/>
    <s v="intermediate"/>
    <s v="Masters"/>
  </r>
  <r>
    <n v="267"/>
    <s v="Principal Data Scientist with over 10 years experience"/>
    <n v="0"/>
    <s v="CA-One Tech Clou"/>
    <s v="San | CA"/>
    <s v="Fremont | CA"/>
    <s v="51 - 200"/>
    <n v="2017"/>
    <x v="0"/>
    <s v="IT Services"/>
    <s v="Information Technology"/>
    <s v="10 million "/>
    <s v="Unknown"/>
    <n v="0"/>
    <n v="1"/>
    <n v="200000"/>
    <n v="250000"/>
    <n v="225000"/>
    <x v="6"/>
    <n v="6"/>
    <n v="1"/>
    <n v="0"/>
    <n v="1"/>
    <n v="1"/>
    <n v="0"/>
    <n v="0"/>
    <n v="0"/>
    <n v="0"/>
    <n v="0"/>
    <n v="0"/>
    <n v="0"/>
    <n v="1"/>
    <n v="0"/>
    <n v="0"/>
    <n v="0"/>
    <n v="0"/>
    <x v="0"/>
    <s v="Senior "/>
    <s v="Graduates"/>
  </r>
  <r>
    <n v="268"/>
    <s v="Data Engineer"/>
    <n v="3.2"/>
    <s v="PennyMac"/>
    <s v="Agoura | CA"/>
    <s v="Westlake Village | CA"/>
    <s v="1001 - 5000"/>
    <n v="2008"/>
    <x v="3"/>
    <s v="Lending"/>
    <s v="Finance"/>
    <s v="750 million"/>
    <s v="Nationstar Mortgage, Caliber Funding, Quicken Loans"/>
    <n v="0"/>
    <n v="0"/>
    <n v="70000"/>
    <n v="132000"/>
    <n v="101000"/>
    <x v="6"/>
    <n v="15"/>
    <n v="1"/>
    <n v="0"/>
    <n v="1"/>
    <n v="1"/>
    <n v="1"/>
    <n v="0"/>
    <n v="0"/>
    <n v="0"/>
    <n v="0"/>
    <n v="0"/>
    <n v="0"/>
    <n v="1"/>
    <n v="0"/>
    <n v="0"/>
    <n v="0"/>
    <n v="0"/>
    <x v="3"/>
    <s v="intermediate"/>
    <s v="Graduates"/>
  </r>
  <r>
    <n v="269"/>
    <s v="Senior Data Scientist"/>
    <n v="3.3"/>
    <s v="Plymouth Rock Assurance"/>
    <s v="Woodbridge | NJ"/>
    <s v="Boston | MA"/>
    <s v="1001 - 5000"/>
    <n v="1982"/>
    <x v="0"/>
    <s v="Insurance Carriers"/>
    <s v="Insurance"/>
    <s v="25 million"/>
    <s v="Arbella Insurance, Safety Insurance"/>
    <n v="0"/>
    <n v="0"/>
    <n v="73000"/>
    <n v="124000"/>
    <n v="98500"/>
    <x v="9"/>
    <n v="41"/>
    <n v="0"/>
    <n v="0"/>
    <n v="0"/>
    <n v="1"/>
    <n v="1"/>
    <n v="1"/>
    <n v="0"/>
    <n v="0"/>
    <n v="0"/>
    <n v="0"/>
    <n v="0"/>
    <n v="0"/>
    <n v="0"/>
    <n v="0"/>
    <n v="0"/>
    <n v="0"/>
    <x v="0"/>
    <s v="Senior "/>
    <s v="Masters"/>
  </r>
  <r>
    <n v="270"/>
    <s v="Data Engineer I - Azure"/>
    <n v="3.9"/>
    <s v="Vermeer"/>
    <s v="Pella | IA"/>
    <s v="Pella | IA"/>
    <s v="1001 - 5000"/>
    <n v="1948"/>
    <x v="0"/>
    <s v="Industrial Manufacturing"/>
    <s v="Manufacturing"/>
    <s v="2 billion "/>
    <s v="Caterpillar, John Deere, CNH Industrial"/>
    <n v="0"/>
    <n v="0"/>
    <n v="54000"/>
    <n v="101000"/>
    <n v="77500"/>
    <x v="34"/>
    <n v="75"/>
    <n v="0"/>
    <n v="0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271"/>
    <s v="Sr. Scientist, Quantitative Translational Sciences"/>
    <n v="3.7"/>
    <s v="Takeda Pharmaceuticals"/>
    <s v="Boston | MA"/>
    <s v="OSAKA | Japan"/>
    <s v="10000+"/>
    <n v="1781"/>
    <x v="3"/>
    <s v="Biotech &amp; Pharmaceuticals"/>
    <s v="Biotech &amp; Pharmaceuticals"/>
    <s v="10 billion "/>
    <s v="Novartis, Baxter, Pfizer"/>
    <n v="0"/>
    <n v="0"/>
    <n v="117000"/>
    <n v="206000"/>
    <n v="161500"/>
    <x v="8"/>
    <n v="242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Masters"/>
  </r>
  <r>
    <n v="272"/>
    <s v="MED TECH/LAB SCIENTIST - LABORATORY"/>
    <n v="3.6"/>
    <s v="Beebe Healthcare"/>
    <s v="Lewes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73"/>
    <s v="Sr. Data Scientist II"/>
    <n v="3.4"/>
    <s v="Argo Group US"/>
    <s v="New | NY"/>
    <s v="Hamilton | Bermuda"/>
    <s v="1001 - 5000"/>
    <n v="1948"/>
    <x v="3"/>
    <s v="Insurance Carriers"/>
    <s v="Insurance"/>
    <s v="2 billion "/>
    <s v="Unknown"/>
    <n v="0"/>
    <n v="0"/>
    <n v="111000"/>
    <n v="183000"/>
    <n v="147000"/>
    <x v="4"/>
    <n v="75"/>
    <n v="1"/>
    <n v="1"/>
    <n v="1"/>
    <n v="0"/>
    <n v="1"/>
    <n v="0"/>
    <n v="1"/>
    <n v="1"/>
    <n v="1"/>
    <n v="1"/>
    <n v="1"/>
    <n v="0"/>
    <n v="0"/>
    <n v="0"/>
    <n v="0"/>
    <n v="0"/>
    <x v="0"/>
    <s v="Senior "/>
    <s v="Graduates"/>
  </r>
  <r>
    <n v="274"/>
    <s v="Data Scientist"/>
    <n v="3.5"/>
    <s v="L&amp;T Infotech"/>
    <s v="San | CA"/>
    <s v="Mumbai | India"/>
    <s v="10000+"/>
    <n v="1997"/>
    <x v="3"/>
    <s v="IT Services"/>
    <s v="Information Technology"/>
    <s v="Unknown / Non-Applicable"/>
    <s v="Infosys, Accenture, Capgemini"/>
    <n v="0"/>
    <n v="0"/>
    <n v="68000"/>
    <n v="112000"/>
    <n v="90000"/>
    <x v="6"/>
    <n v="26"/>
    <n v="1"/>
    <n v="0"/>
    <n v="0"/>
    <n v="1"/>
    <n v="1"/>
    <n v="0"/>
    <n v="1"/>
    <n v="0"/>
    <n v="1"/>
    <n v="0"/>
    <n v="0"/>
    <n v="1"/>
    <n v="0"/>
    <n v="0"/>
    <n v="0"/>
    <n v="0"/>
    <x v="0"/>
    <s v="intermediate"/>
    <s v="Graduates"/>
  </r>
  <r>
    <n v="275"/>
    <s v="Information Security Data Analyst"/>
    <n v="4.3"/>
    <s v="OceanFirst Financial"/>
    <s v="Red | NJ"/>
    <s v="Toms River | NJ"/>
    <s v="501 - 1000"/>
    <n v="1902"/>
    <x v="3"/>
    <s v="Banks &amp; Credit Unions"/>
    <s v="Finance"/>
    <s v="10 billion"/>
    <s v="Unknown"/>
    <n v="0"/>
    <n v="0"/>
    <n v="42000"/>
    <n v="74000"/>
    <n v="58000"/>
    <x v="9"/>
    <n v="121"/>
    <n v="0"/>
    <n v="0"/>
    <n v="1"/>
    <n v="0"/>
    <n v="1"/>
    <n v="0"/>
    <n v="0"/>
    <n v="0"/>
    <n v="0"/>
    <n v="0"/>
    <n v="0"/>
    <n v="0"/>
    <n v="0"/>
    <n v="0"/>
    <n v="0"/>
    <n v="0"/>
    <x v="2"/>
    <s v="intermediate"/>
    <s v="Graduates"/>
  </r>
  <r>
    <n v="276"/>
    <s v="Excel / VBA / sql_ Data Analyst"/>
    <n v="4.0999999999999996"/>
    <s v="Associated Electric Cooperative"/>
    <s v="Springfield | MO"/>
    <s v="Springfield | MO"/>
    <s v="501 - 1000"/>
    <n v="1961"/>
    <x v="0"/>
    <s v="Energy"/>
    <s v="Oil, Gas, Energy &amp; Utilities"/>
    <s v="2 billion "/>
    <s v="Unknown"/>
    <n v="0"/>
    <n v="0"/>
    <n v="44000"/>
    <n v="78000"/>
    <n v="61000"/>
    <x v="19"/>
    <n v="62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Masters"/>
  </r>
  <r>
    <n v="277"/>
    <s v="Machine Learning Research Scientist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59000"/>
    <n v="120000"/>
    <x v="20"/>
    <n v="39"/>
    <n v="1"/>
    <n v="0"/>
    <n v="0"/>
    <n v="0"/>
    <n v="0"/>
    <n v="0"/>
    <n v="0"/>
    <n v="0"/>
    <n v="0"/>
    <n v="0"/>
    <n v="0"/>
    <n v="0"/>
    <n v="0"/>
    <n v="0"/>
    <n v="0"/>
    <n v="0"/>
    <x v="7"/>
    <s v="intermediate"/>
    <s v="Post Graduates"/>
  </r>
  <r>
    <n v="278"/>
    <s v="Data Scientist"/>
    <n v="3.6"/>
    <s v="Sotheby's"/>
    <s v="New | NY"/>
    <s v="New York | NY"/>
    <s v="1001 - 5000"/>
    <n v="1744"/>
    <x v="3"/>
    <s v="Auctions &amp; Galleries"/>
    <s v="Retail"/>
    <s v="750 million"/>
    <s v="Unknown"/>
    <n v="0"/>
    <n v="0"/>
    <n v="95000"/>
    <n v="161000"/>
    <n v="128000"/>
    <x v="4"/>
    <n v="279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279"/>
    <s v="Data Scientist"/>
    <n v="3.5"/>
    <s v="First Tech Federal Credit Union"/>
    <s v="Hillsboro | OR"/>
    <s v="San Jose | CA"/>
    <s v="1001 - 5000"/>
    <n v="1952"/>
    <x v="0"/>
    <s v="Banks &amp; Credit Unions"/>
    <s v="Finance"/>
    <s v="500 million"/>
    <s v="Unknown"/>
    <n v="0"/>
    <n v="0"/>
    <n v="75000"/>
    <n v="124000"/>
    <n v="99500"/>
    <x v="13"/>
    <n v="71"/>
    <n v="1"/>
    <n v="1"/>
    <n v="1"/>
    <n v="1"/>
    <n v="1"/>
    <n v="0"/>
    <n v="1"/>
    <n v="0"/>
    <n v="1"/>
    <n v="1"/>
    <n v="0"/>
    <n v="1"/>
    <n v="0"/>
    <n v="0"/>
    <n v="0"/>
    <n v="0"/>
    <x v="0"/>
    <s v="intermediate"/>
    <s v="Graduates"/>
  </r>
  <r>
    <n v="280"/>
    <s v="Data Scientist"/>
    <n v="3.6"/>
    <s v="Amrock"/>
    <s v="Detroit | MI"/>
    <s v="Detroit | MI"/>
    <s v="1001 - 5000"/>
    <n v="1997"/>
    <x v="0"/>
    <s v="Real Estate"/>
    <s v="Real Estate"/>
    <s v="750 million"/>
    <s v="Unknown"/>
    <n v="0"/>
    <n v="0"/>
    <n v="72000"/>
    <n v="120000"/>
    <n v="96000"/>
    <x v="15"/>
    <n v="26"/>
    <n v="1"/>
    <n v="0"/>
    <n v="0"/>
    <n v="0"/>
    <n v="1"/>
    <n v="1"/>
    <n v="0"/>
    <n v="0"/>
    <n v="0"/>
    <n v="0"/>
    <n v="0"/>
    <n v="0"/>
    <n v="0"/>
    <n v="0"/>
    <n v="0"/>
    <n v="0"/>
    <x v="0"/>
    <s v="intermediate"/>
    <s v="Masters"/>
  </r>
  <r>
    <n v="281"/>
    <s v="Data Scientist"/>
    <n v="2.2999999999999998"/>
    <s v="Vanda Pharmaceuticals"/>
    <s v="Washington | DC"/>
    <s v="Washington | DC"/>
    <s v="201 - 500"/>
    <n v="2003"/>
    <x v="3"/>
    <s v="Biotech &amp; Pharmaceuticals"/>
    <s v="Biotech &amp; Pharmaceuticals"/>
    <s v="500 million"/>
    <s v="Unknown"/>
    <n v="0"/>
    <n v="0"/>
    <n v="76000"/>
    <n v="126000"/>
    <n v="101000"/>
    <x v="16"/>
    <n v="20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Masters"/>
  </r>
  <r>
    <n v="282"/>
    <s v="Senior Data Scientist"/>
    <n v="3.9"/>
    <s v="Zest AI"/>
    <s v="Burbank | CA"/>
    <s v="Burbank | CA"/>
    <s v="51 - 200"/>
    <n v="2009"/>
    <x v="0"/>
    <s v="Financial Analytics &amp; Research"/>
    <s v="Finance"/>
    <s v="100 million "/>
    <s v="Unknown"/>
    <n v="0"/>
    <n v="0"/>
    <n v="114000"/>
    <n v="182000"/>
    <n v="148000"/>
    <x v="6"/>
    <n v="14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283"/>
    <s v="Data Scientist, Senior"/>
    <n v="4"/>
    <s v="Novetta"/>
    <s v="Fort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108000"/>
    <n v="176000"/>
    <n v="142000"/>
    <x v="7"/>
    <n v="11"/>
    <n v="1"/>
    <n v="0"/>
    <n v="1"/>
    <n v="0"/>
    <n v="1"/>
    <n v="0"/>
    <n v="0"/>
    <n v="0"/>
    <n v="0"/>
    <n v="0"/>
    <n v="0"/>
    <n v="0"/>
    <n v="0"/>
    <n v="0"/>
    <n v="1"/>
    <n v="0"/>
    <x v="0"/>
    <s v="Senior "/>
    <s v="Graduates"/>
  </r>
  <r>
    <n v="284"/>
    <s v="Senior Data Scientist"/>
    <n v="4.0999999999999996"/>
    <s v="CK-12 Foundation"/>
    <s v="Palo | CA"/>
    <s v="Palo Alto | CA"/>
    <n v="500"/>
    <n v="2007"/>
    <x v="0"/>
    <s v="K-12 Education"/>
    <s v="Education"/>
    <s v="Unknown / Non-Applicable"/>
    <s v="Unknown"/>
    <n v="0"/>
    <n v="0"/>
    <n v="130000"/>
    <n v="208000"/>
    <n v="169000"/>
    <x v="6"/>
    <n v="16"/>
    <n v="0"/>
    <n v="0"/>
    <n v="1"/>
    <n v="1"/>
    <n v="1"/>
    <n v="1"/>
    <n v="0"/>
    <n v="0"/>
    <n v="0"/>
    <n v="0"/>
    <n v="0"/>
    <n v="1"/>
    <n v="0"/>
    <n v="0"/>
    <n v="1"/>
    <n v="0"/>
    <x v="0"/>
    <s v="Senior "/>
    <s v="Masters"/>
  </r>
  <r>
    <n v="285"/>
    <s v="VP, Data Science"/>
    <n v="3.2"/>
    <s v="PennyMac"/>
    <s v="Phoenix | AZ"/>
    <s v="Westlake Village | CA"/>
    <s v="1001 - 5000"/>
    <n v="2008"/>
    <x v="3"/>
    <s v="Lending"/>
    <s v="Finance"/>
    <s v="750 million"/>
    <s v="Nationstar Mortgage, Caliber Funding, Quicken Loans"/>
    <n v="0"/>
    <n v="0"/>
    <n v="83000"/>
    <n v="166000"/>
    <n v="124500"/>
    <x v="26"/>
    <n v="15"/>
    <n v="1"/>
    <n v="0"/>
    <n v="0"/>
    <n v="1"/>
    <n v="1"/>
    <n v="0"/>
    <n v="1"/>
    <n v="0"/>
    <n v="0"/>
    <n v="1"/>
    <n v="0"/>
    <n v="0"/>
    <n v="0"/>
    <n v="0"/>
    <n v="0"/>
    <n v="0"/>
    <x v="0"/>
    <s v="intermediate"/>
    <s v="Graduates"/>
  </r>
  <r>
    <n v="286"/>
    <s v="Radar Data Analyst"/>
    <n v="4.7"/>
    <s v="DECISIVE ANALYTICS Corporation"/>
    <s v="Huntsville | AL"/>
    <s v="Arlington | VA"/>
    <s v="51 - 200"/>
    <n v="1996"/>
    <x v="0"/>
    <s v="Aerospace &amp; Defense"/>
    <s v="Aerospace &amp; Defense"/>
    <s v="50 million "/>
    <s v="Torch Technologies, American Systems"/>
    <n v="0"/>
    <n v="0"/>
    <n v="42000"/>
    <n v="76000"/>
    <n v="59000"/>
    <x v="18"/>
    <n v="27"/>
    <n v="1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287"/>
    <s v="CONSULTANT– DATA ANALYTICS GROUP"/>
    <n v="4.2"/>
    <s v="Opinion Dynamics"/>
    <s v="San | CA"/>
    <s v="Waltham | MA"/>
    <s v="51 - 200"/>
    <n v="1987"/>
    <x v="0"/>
    <s v="Consulting"/>
    <s v="Business Services"/>
    <s v="25 million"/>
    <s v="Unknown"/>
    <n v="0"/>
    <n v="0"/>
    <n v="37000"/>
    <n v="68000"/>
    <n v="52500"/>
    <x v="6"/>
    <n v="36"/>
    <n v="1"/>
    <n v="0"/>
    <n v="0"/>
    <n v="0"/>
    <n v="1"/>
    <n v="0"/>
    <n v="0"/>
    <n v="0"/>
    <n v="0"/>
    <n v="0"/>
    <n v="0"/>
    <n v="0"/>
    <n v="0"/>
    <n v="0"/>
    <n v="0"/>
    <n v="0"/>
    <x v="4"/>
    <s v="intermediate"/>
    <s v="Graduates"/>
  </r>
  <r>
    <n v="288"/>
    <s v="Data Engineer"/>
    <n v="4.5999999999999996"/>
    <s v="Applied Information Sciences"/>
    <s v="Houston | TX"/>
    <s v="Reston | VA"/>
    <s v="501 - 1000"/>
    <n v="1982"/>
    <x v="0"/>
    <s v="IT Services"/>
    <s v="Information Technology"/>
    <s v="100 million "/>
    <s v="Unknown"/>
    <n v="0"/>
    <n v="0"/>
    <n v="52000"/>
    <n v="99000"/>
    <n v="75500"/>
    <x v="5"/>
    <n v="41"/>
    <n v="0"/>
    <n v="1"/>
    <n v="0"/>
    <n v="0"/>
    <n v="1"/>
    <n v="0"/>
    <n v="0"/>
    <n v="0"/>
    <n v="0"/>
    <n v="0"/>
    <n v="1"/>
    <n v="1"/>
    <n v="1"/>
    <n v="0"/>
    <n v="0"/>
    <n v="0"/>
    <x v="3"/>
    <s v="intermediate"/>
    <s v="Graduates"/>
  </r>
  <r>
    <n v="289"/>
    <s v="Senior Data Scientist"/>
    <n v="3.7"/>
    <s v="Swiss Re"/>
    <s v="Armonk | NY"/>
    <s v="Zurich | Switzerland"/>
    <s v="10000+"/>
    <n v="1863"/>
    <x v="3"/>
    <s v="Insurance Agencies &amp; Brokerages"/>
    <s v="Insurance"/>
    <s v="10 billion "/>
    <s v="Munich Re, Hannover RE, SCOR"/>
    <n v="0"/>
    <n v="0"/>
    <n v="105000"/>
    <n v="173000"/>
    <n v="139000"/>
    <x v="4"/>
    <n v="160"/>
    <n v="1"/>
    <n v="0"/>
    <n v="0"/>
    <n v="1"/>
    <n v="1"/>
    <n v="0"/>
    <n v="0"/>
    <n v="0"/>
    <n v="0"/>
    <n v="0"/>
    <n v="0"/>
    <n v="0"/>
    <n v="0"/>
    <n v="0"/>
    <n v="0"/>
    <n v="0"/>
    <x v="0"/>
    <s v="Senior "/>
    <s v="Masters"/>
  </r>
  <r>
    <n v="290"/>
    <s v="Data Engineer, Data Engineering and Artifical Intelligence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71000"/>
    <n v="134000"/>
    <n v="102500"/>
    <x v="8"/>
    <n v="242"/>
    <n v="1"/>
    <n v="1"/>
    <n v="1"/>
    <n v="1"/>
    <n v="1"/>
    <n v="0"/>
    <n v="0"/>
    <n v="0"/>
    <n v="0"/>
    <n v="0"/>
    <n v="1"/>
    <n v="1"/>
    <n v="0"/>
    <n v="0"/>
    <n v="1"/>
    <n v="0"/>
    <x v="3"/>
    <s v="intermediate"/>
    <s v="Graduates"/>
  </r>
  <r>
    <n v="291"/>
    <s v="Staff Scientist"/>
    <n v="4.4000000000000004"/>
    <s v="WK Dickson"/>
    <s v="Columbia | SC"/>
    <s v="Charlotte | NC"/>
    <s v="201 - 500"/>
    <n v="1929"/>
    <x v="0"/>
    <s v="Architectural &amp; Engineering Services"/>
    <s v="Business Services"/>
    <s v="50 million "/>
    <s v="McKim and Creed, CDM Smith, Kimley-Horn"/>
    <n v="0"/>
    <n v="0"/>
    <n v="39000"/>
    <n v="82000"/>
    <n v="60500"/>
    <x v="35"/>
    <n v="94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292"/>
    <s v="PL Actuarial-Lead Data Scientist"/>
    <n v="3.7"/>
    <s v="The Hanover Insurance Group"/>
    <s v="Worcester | MA"/>
    <s v="Worcester | MA"/>
    <s v="5001 - 10000"/>
    <n v="1852"/>
    <x v="3"/>
    <s v="Insurance Carriers"/>
    <s v="Insurance"/>
    <s v="10 billion"/>
    <s v="Unknown"/>
    <n v="0"/>
    <n v="0"/>
    <n v="114000"/>
    <n v="179000"/>
    <n v="146500"/>
    <x v="8"/>
    <n v="171"/>
    <n v="1"/>
    <n v="0"/>
    <n v="0"/>
    <n v="1"/>
    <n v="1"/>
    <n v="1"/>
    <n v="0"/>
    <n v="0"/>
    <n v="0"/>
    <n v="0"/>
    <n v="0"/>
    <n v="0"/>
    <n v="0"/>
    <n v="0"/>
    <n v="0"/>
    <n v="0"/>
    <x v="0"/>
    <s v="Senior "/>
    <s v="Masters"/>
  </r>
  <r>
    <n v="293"/>
    <s v="Associate Scientist/Scientist, Process Analytical Technology - Small Molecule Analytical Chemistry"/>
    <n v="3.9"/>
    <s v="Genentech"/>
    <s v="South | CA"/>
    <s v="South San Francisco | CA"/>
    <s v="10000+"/>
    <n v="1976"/>
    <x v="5"/>
    <s v="Biotech &amp; Pharmaceuticals"/>
    <s v="Biotech &amp; Pharmaceuticals"/>
    <s v="10 billion "/>
    <s v="Unknown"/>
    <n v="0"/>
    <n v="0"/>
    <n v="88000"/>
    <n v="162000"/>
    <n v="125000"/>
    <x v="6"/>
    <n v="47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294"/>
    <s v="Sr. Data Analyst"/>
    <n v="3.6"/>
    <s v="MassMutual"/>
    <s v="Springfield | MA"/>
    <s v="Springfield | MA"/>
    <s v="5001 - 10000"/>
    <n v="1851"/>
    <x v="0"/>
    <s v="Insurance Carriers"/>
    <s v="Insurance"/>
    <s v="10 billion "/>
    <s v="Unknown"/>
    <n v="0"/>
    <n v="0"/>
    <n v="60000"/>
    <n v="102000"/>
    <n v="81000"/>
    <x v="8"/>
    <n v="172"/>
    <n v="1"/>
    <n v="0"/>
    <n v="0"/>
    <n v="0"/>
    <n v="1"/>
    <n v="0"/>
    <n v="0"/>
    <n v="0"/>
    <n v="0"/>
    <n v="0"/>
    <n v="0"/>
    <n v="1"/>
    <n v="0"/>
    <n v="0"/>
    <n v="0"/>
    <n v="0"/>
    <x v="2"/>
    <s v="Senior "/>
    <s v="Graduates"/>
  </r>
  <r>
    <n v="295"/>
    <s v="Senior Data &amp; Machine Learning Scientist"/>
    <n v="3"/>
    <s v="Tempus Labs"/>
    <s v="Chicago | IL"/>
    <s v="Chicago | IL"/>
    <s v="501 - 1000"/>
    <n v="2015"/>
    <x v="0"/>
    <s v="Biotech &amp; Pharmaceuticals"/>
    <s v="Biotech &amp; Pharmaceuticals"/>
    <s v="Unknown / Non-Applicable"/>
    <s v="Unknown"/>
    <n v="0"/>
    <n v="0"/>
    <n v="100000"/>
    <n v="166000"/>
    <n v="133000"/>
    <x v="11"/>
    <n v="8"/>
    <n v="1"/>
    <n v="0"/>
    <n v="1"/>
    <n v="0"/>
    <n v="1"/>
    <n v="0"/>
    <n v="0"/>
    <n v="1"/>
    <n v="1"/>
    <n v="1"/>
    <n v="0"/>
    <n v="0"/>
    <n v="0"/>
    <n v="0"/>
    <n v="0"/>
    <n v="0"/>
    <x v="7"/>
    <s v="Senior "/>
    <s v="Post Graduates"/>
  </r>
  <r>
    <n v="296"/>
    <s v="Program/Data Analyst"/>
    <n v="3.4"/>
    <s v="General Dynamics Information Technology"/>
    <s v="Washington | DC"/>
    <s v="Fairfax | VA"/>
    <s v="10000+"/>
    <n v="1996"/>
    <x v="5"/>
    <s v="IT Services"/>
    <s v="Information Technology"/>
    <s v="10 billion "/>
    <s v="SAIC, Leidos, Northrop Grumman"/>
    <n v="0"/>
    <n v="0"/>
    <n v="55000"/>
    <n v="99000"/>
    <n v="77000"/>
    <x v="16"/>
    <n v="27"/>
    <n v="0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Masters"/>
  </r>
  <r>
    <n v="297"/>
    <s v="Data Engineer"/>
    <n v="4.0999999999999996"/>
    <s v="ManTech"/>
    <s v="Herndon | VA"/>
    <s v="Herndon | VA"/>
    <s v="5001 - 10000"/>
    <n v="1968"/>
    <x v="3"/>
    <s v="Research &amp; Development"/>
    <s v="Business Services"/>
    <s v="2 billion "/>
    <s v="Unknown"/>
    <n v="0"/>
    <n v="0"/>
    <n v="67000"/>
    <n v="117000"/>
    <n v="92000"/>
    <x v="7"/>
    <n v="55"/>
    <n v="0"/>
    <n v="0"/>
    <n v="0"/>
    <n v="0"/>
    <n v="1"/>
    <n v="0"/>
    <n v="0"/>
    <n v="0"/>
    <n v="0"/>
    <n v="0"/>
    <n v="1"/>
    <n v="0"/>
    <n v="0"/>
    <n v="0"/>
    <n v="0"/>
    <n v="0"/>
    <x v="3"/>
    <s v="intermediate"/>
    <s v="Graduates"/>
  </r>
  <r>
    <n v="298"/>
    <s v="Senior Data Scientist: Causal &amp; Predictive analytics AI Innovation Lab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92000"/>
    <n v="150000"/>
    <n v="121000"/>
    <x v="8"/>
    <n v="27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Graduates"/>
  </r>
  <r>
    <n v="299"/>
    <s v="Principal Data Engineer, Data Platform &amp; Insights"/>
    <n v="4"/>
    <s v="Autodesk"/>
    <s v="San | CA"/>
    <s v="San Rafael | CA"/>
    <s v="5001 - 10000"/>
    <n v="1982"/>
    <x v="3"/>
    <s v="Computer Hardware &amp; Software"/>
    <s v="Information Technology"/>
    <s v="5 billion "/>
    <s v="Unknown"/>
    <n v="0"/>
    <n v="0"/>
    <n v="116000"/>
    <n v="209000"/>
    <n v="162500"/>
    <x v="6"/>
    <n v="41"/>
    <n v="1"/>
    <n v="1"/>
    <n v="0"/>
    <n v="1"/>
    <n v="1"/>
    <n v="0"/>
    <n v="0"/>
    <n v="0"/>
    <n v="0"/>
    <n v="0"/>
    <n v="0"/>
    <n v="0"/>
    <n v="0"/>
    <n v="0"/>
    <n v="0"/>
    <n v="0"/>
    <x v="3"/>
    <s v="Senior "/>
    <s v="Graduates"/>
  </r>
  <r>
    <n v="300"/>
    <s v="RESEARCH SCIENTIST - BIOLOGICAL SAFETY"/>
    <n v="3.9"/>
    <s v="Southwest Research Institute"/>
    <s v="San | TX"/>
    <s v="San Antonio | TX"/>
    <s v="1001 - 5000"/>
    <n v="1947"/>
    <x v="6"/>
    <s v="Research &amp; Development"/>
    <s v="Business Services"/>
    <s v="750 million"/>
    <s v="Los Alamos National Laboratory, Battelle, SRI International"/>
    <n v="0"/>
    <n v="0"/>
    <n v="38000"/>
    <n v="82000"/>
    <n v="60000"/>
    <x v="5"/>
    <n v="76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01"/>
    <s v="Data Operations Lead"/>
    <n v="0"/>
    <s v="Mus"/>
    <s v="San | CA"/>
    <s v="San Francisco | CA"/>
    <s v="201 - 500"/>
    <s v="Unknown"/>
    <x v="6"/>
    <s v="Unknown"/>
    <s v="Unknown"/>
    <s v="Unknown / Non-Applicable"/>
    <s v="Unknown"/>
    <n v="0"/>
    <n v="1"/>
    <n v="85000"/>
    <n v="90000"/>
    <n v="87500"/>
    <x v="6"/>
    <s v="Unknown"/>
    <n v="1"/>
    <n v="0"/>
    <n v="0"/>
    <n v="1"/>
    <n v="1"/>
    <n v="0"/>
    <n v="0"/>
    <n v="0"/>
    <n v="0"/>
    <n v="0"/>
    <n v="0"/>
    <n v="1"/>
    <n v="0"/>
    <n v="0"/>
    <n v="0"/>
    <n v="0"/>
    <x v="1"/>
    <s v="Senior "/>
    <s v="Masters"/>
  </r>
  <r>
    <n v="302"/>
    <s v="Big Data Engineer"/>
    <n v="4.4000000000000004"/>
    <s v="SpringML"/>
    <s v="Indianapolis | IN"/>
    <s v="Pleasanton | CA"/>
    <n v="500"/>
    <n v="2015"/>
    <x v="0"/>
    <s v="Enterprise Software &amp; Network Solutions"/>
    <s v="Information Technology"/>
    <s v="Unknown / Non-Applicable"/>
    <s v="Unknown"/>
    <n v="0"/>
    <n v="0"/>
    <n v="62000"/>
    <n v="119000"/>
    <n v="90500"/>
    <x v="22"/>
    <n v="8"/>
    <n v="1"/>
    <n v="1"/>
    <n v="0"/>
    <n v="0"/>
    <n v="0"/>
    <n v="0"/>
    <n v="0"/>
    <n v="0"/>
    <n v="0"/>
    <n v="0"/>
    <n v="1"/>
    <n v="0"/>
    <n v="0"/>
    <n v="0"/>
    <n v="0"/>
    <n v="0"/>
    <x v="3"/>
    <s v="intermediate"/>
    <s v="Graduates"/>
  </r>
  <r>
    <n v="303"/>
    <s v="Data Scientist / Machine Learning Expert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86000"/>
    <n v="143000"/>
    <n v="114500"/>
    <x v="8"/>
    <n v="27"/>
    <n v="1"/>
    <n v="0"/>
    <n v="0"/>
    <n v="0"/>
    <n v="0"/>
    <n v="0"/>
    <n v="0"/>
    <n v="1"/>
    <n v="1"/>
    <n v="0"/>
    <n v="0"/>
    <n v="0"/>
    <n v="0"/>
    <n v="0"/>
    <n v="0"/>
    <n v="0"/>
    <x v="0"/>
    <s v="intermediate"/>
    <s v="Graduates"/>
  </r>
  <r>
    <n v="304"/>
    <s v="Data Scientist"/>
    <n v="3.8"/>
    <s v="Juniper Networks"/>
    <s v="Sunnyvale | CA"/>
    <s v="Sunnyvale | CA"/>
    <s v="5001 - 10000"/>
    <n v="1996"/>
    <x v="3"/>
    <s v="Telecommunications Services"/>
    <s v="Telecommunications"/>
    <s v="5 billion "/>
    <s v="Unknown"/>
    <n v="0"/>
    <n v="0"/>
    <n v="93000"/>
    <n v="149000"/>
    <n v="121000"/>
    <x v="6"/>
    <n v="27"/>
    <n v="1"/>
    <n v="1"/>
    <n v="0"/>
    <n v="1"/>
    <n v="1"/>
    <n v="0"/>
    <n v="1"/>
    <n v="0"/>
    <n v="1"/>
    <n v="1"/>
    <n v="0"/>
    <n v="0"/>
    <n v="0"/>
    <n v="0"/>
    <n v="1"/>
    <n v="0"/>
    <x v="0"/>
    <s v="intermediate"/>
    <s v="Masters"/>
  </r>
  <r>
    <n v="305"/>
    <s v="Senior Data Scientist"/>
    <n v="2.2000000000000002"/>
    <s v="The Integer Group"/>
    <s v="Dallas | TX"/>
    <s v="Denver | CO"/>
    <s v="501 - 1000"/>
    <n v="1993"/>
    <x v="5"/>
    <s v="Advertising &amp; Marketing"/>
    <s v="Business Services"/>
    <s v="100 million "/>
    <s v="Geometry Global, TracyLocke, Saatchi &amp; Saatchi X"/>
    <n v="0"/>
    <n v="0"/>
    <n v="84000"/>
    <n v="136000"/>
    <n v="110000"/>
    <x v="5"/>
    <n v="30"/>
    <n v="0"/>
    <n v="0"/>
    <n v="0"/>
    <n v="0"/>
    <n v="0"/>
    <n v="0"/>
    <n v="0"/>
    <n v="0"/>
    <n v="0"/>
    <n v="0"/>
    <n v="0"/>
    <n v="1"/>
    <n v="0"/>
    <n v="0"/>
    <n v="0"/>
    <n v="0"/>
    <x v="0"/>
    <s v="Senior "/>
    <s v="Masters"/>
  </r>
  <r>
    <n v="306"/>
    <s v="PV Scientist"/>
    <n v="2.9"/>
    <s v="Karyopharm Therapeutics Inc."/>
    <s v="Newton | MA"/>
    <s v="Newton | MA"/>
    <s v="201 - 500"/>
    <s v="Unknown"/>
    <x v="3"/>
    <s v="Biotech &amp; Pharmaceuticals"/>
    <s v="Biotech &amp; Pharmaceuticals"/>
    <s v="Unknown / Non-Applicable"/>
    <s v="Unknown"/>
    <n v="0"/>
    <n v="0"/>
    <n v="60000"/>
    <n v="123000"/>
    <n v="915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307"/>
    <s v="Clinical Data Analyst"/>
    <n v="4.0999999999999996"/>
    <s v="ManTech"/>
    <s v="Portsmouth | VA"/>
    <s v="Herndon | VA"/>
    <s v="5001 - 10000"/>
    <n v="1968"/>
    <x v="3"/>
    <s v="Research &amp; Development"/>
    <s v="Business Services"/>
    <s v="2 billion "/>
    <s v="Unknown"/>
    <n v="0"/>
    <n v="0"/>
    <n v="52000"/>
    <n v="89000"/>
    <n v="70500"/>
    <x v="7"/>
    <n v="55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Graduates"/>
  </r>
  <r>
    <n v="308"/>
    <s v="Data Engineer"/>
    <n v="3.7"/>
    <s v="P2 Energy Solutions"/>
    <s v="Lafayette | LA"/>
    <s v="Denver | CO"/>
    <s v="501 - 1000"/>
    <s v="Unknown"/>
    <x v="0"/>
    <s v="Computer Hardware &amp; Software"/>
    <s v="Information Technology"/>
    <s v="Unknown / Non-Applicable"/>
    <s v="Unknown"/>
    <n v="0"/>
    <n v="0"/>
    <n v="48000"/>
    <n v="93000"/>
    <n v="70500"/>
    <x v="23"/>
    <s v="Unknown"/>
    <n v="0"/>
    <n v="0"/>
    <n v="0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309"/>
    <s v="Computational Chemist/Data Scientist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56000"/>
    <n v="97000"/>
    <n v="76500"/>
    <x v="3"/>
    <n v="58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Post Graduates"/>
  </r>
  <r>
    <n v="310"/>
    <s v="Data Engineer"/>
    <n v="3.6"/>
    <s v="MassMutual"/>
    <s v="Springfield | MA"/>
    <s v="Springfield | MA"/>
    <s v="5001 - 10000"/>
    <n v="1851"/>
    <x v="0"/>
    <s v="Insurance Carriers"/>
    <s v="Insurance"/>
    <s v="10 billion "/>
    <s v="Unknown"/>
    <n v="0"/>
    <n v="0"/>
    <n v="65000"/>
    <n v="119000"/>
    <n v="92000"/>
    <x v="8"/>
    <n v="172"/>
    <n v="1"/>
    <n v="1"/>
    <n v="0"/>
    <n v="1"/>
    <n v="0"/>
    <n v="0"/>
    <n v="0"/>
    <n v="0"/>
    <n v="0"/>
    <n v="0"/>
    <n v="0"/>
    <n v="0"/>
    <n v="0"/>
    <n v="0"/>
    <n v="0"/>
    <n v="0"/>
    <x v="3"/>
    <s v="intermediate"/>
    <s v="Graduates"/>
  </r>
  <r>
    <n v="311"/>
    <s v="Principal Data Scientist (Computational Chemistry)"/>
    <n v="4.7"/>
    <s v="Recursion Pharmaceuticals"/>
    <s v="Salt | UT"/>
    <s v="Salt Lake City | UT"/>
    <s v="51 - 200"/>
    <n v="2013"/>
    <x v="0"/>
    <s v="Biotech &amp; Pharmaceuticals"/>
    <s v="Biotech &amp; Pharmaceuticals"/>
    <s v="5 million"/>
    <s v="Unknown"/>
    <n v="0"/>
    <n v="0"/>
    <n v="108000"/>
    <n v="173000"/>
    <n v="140500"/>
    <x v="29"/>
    <n v="10"/>
    <n v="1"/>
    <n v="0"/>
    <n v="1"/>
    <n v="0"/>
    <n v="0"/>
    <n v="0"/>
    <n v="1"/>
    <n v="1"/>
    <n v="1"/>
    <n v="1"/>
    <n v="0"/>
    <n v="0"/>
    <n v="0"/>
    <n v="0"/>
    <n v="0"/>
    <n v="0"/>
    <x v="0"/>
    <s v="Senior "/>
    <s v="Graduates"/>
  </r>
  <r>
    <n v="312"/>
    <s v="Product Engineer – Data Science"/>
    <n v="3.5"/>
    <s v="Esri"/>
    <s v="Arlington | VA"/>
    <s v="Redlands | CA"/>
    <s v="1001 - 5000"/>
    <n v="1969"/>
    <x v="0"/>
    <s v="Computer Hardware &amp; Software"/>
    <s v="Information Technology"/>
    <s v="2 billion "/>
    <s v="Pitney Bowes"/>
    <n v="0"/>
    <n v="0"/>
    <n v="63000"/>
    <n v="101000"/>
    <n v="82000"/>
    <x v="7"/>
    <n v="54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313"/>
    <s v="Principal Scientist, Chemistry &amp; Immun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314"/>
    <s v="Scientist/Senior Scientist, Autoimmune"/>
    <n v="4.4000000000000004"/>
    <s v="Rubius Therapeutics"/>
    <s v="Cambridge | MA"/>
    <s v="Cambridge | MA"/>
    <s v="201 - 500"/>
    <n v="2013"/>
    <x v="3"/>
    <s v="Biotech &amp; Pharmaceuticals"/>
    <s v="Biotech &amp; Pharmaceuticals"/>
    <s v="500 million"/>
    <s v="Unknown"/>
    <n v="0"/>
    <n v="0"/>
    <n v="90000"/>
    <n v="179000"/>
    <n v="134500"/>
    <x v="8"/>
    <n v="10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315"/>
    <s v="Data Scientist"/>
    <n v="3.3"/>
    <s v="Samba TV"/>
    <s v="San | CA"/>
    <s v="San Francisco | CA"/>
    <s v="201 - 500"/>
    <n v="2008"/>
    <x v="0"/>
    <s v="Advertising &amp; Marketing"/>
    <s v="Business Services"/>
    <s v="Unknown / Non-Applicable"/>
    <s v="Unknown"/>
    <n v="0"/>
    <n v="0"/>
    <n v="127000"/>
    <n v="202000"/>
    <n v="164500"/>
    <x v="6"/>
    <n v="15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316"/>
    <s v="Market Data Analyst"/>
    <n v="3.4"/>
    <s v="SV Microwave"/>
    <s v="West | FL"/>
    <s v="West Palm Beach | FL"/>
    <s v="201 - 500"/>
    <n v="1991"/>
    <x v="3"/>
    <s v="Telecommunications Manufacturing"/>
    <s v="Telecommunications"/>
    <s v="100 million "/>
    <s v="Unknown"/>
    <n v="0"/>
    <n v="0"/>
    <n v="31000"/>
    <n v="57000"/>
    <n v="44000"/>
    <x v="2"/>
    <n v="32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Masters"/>
  </r>
  <r>
    <n v="317"/>
    <s v="Software Engineer - Data Visualization"/>
    <n v="4"/>
    <s v="ClearEdge"/>
    <s v="Annapolis | MD"/>
    <s v="Annapolis Junction | MD"/>
    <s v="51 - 200"/>
    <n v="2002"/>
    <x v="0"/>
    <s v="Computer Hardware &amp; Software"/>
    <s v="Information Technology"/>
    <s v="10 million "/>
    <s v="Unknown"/>
    <n v="0"/>
    <n v="0"/>
    <n v="60000"/>
    <n v="127000"/>
    <n v="93500"/>
    <x v="1"/>
    <n v="21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Masters"/>
  </r>
  <r>
    <n v="318"/>
    <s v="Data Engineer"/>
    <n v="4.4000000000000004"/>
    <s v="SpringML"/>
    <s v="Herndon | VA"/>
    <s v="Pleasanton | CA"/>
    <n v="500"/>
    <n v="2015"/>
    <x v="0"/>
    <s v="Enterprise Software &amp; Network Solutions"/>
    <s v="Information Technology"/>
    <s v="Unknown / Non-Applicable"/>
    <s v="Unknown"/>
    <n v="0"/>
    <n v="0"/>
    <n v="75000"/>
    <n v="143000"/>
    <n v="109000"/>
    <x v="7"/>
    <n v="8"/>
    <n v="1"/>
    <n v="1"/>
    <n v="0"/>
    <n v="0"/>
    <n v="0"/>
    <n v="0"/>
    <n v="0"/>
    <n v="0"/>
    <n v="0"/>
    <n v="0"/>
    <n v="1"/>
    <n v="0"/>
    <n v="0"/>
    <n v="0"/>
    <n v="0"/>
    <n v="0"/>
    <x v="3"/>
    <s v="intermediate"/>
    <s v="Graduates"/>
  </r>
  <r>
    <n v="319"/>
    <s v="Staff Data Engineer"/>
    <n v="3.8"/>
    <s v="Sumo Logic"/>
    <s v="Austin | TX"/>
    <s v="Redwood City | CA"/>
    <s v="501 - 1000"/>
    <n v="2010"/>
    <x v="0"/>
    <s v="Computer Hardware &amp; Software"/>
    <s v="Information Technology"/>
    <s v="Unknown / Non-Applicable"/>
    <s v="Splunk, Datadog, Elastic"/>
    <n v="0"/>
    <n v="0"/>
    <n v="105000"/>
    <n v="194000"/>
    <n v="149500"/>
    <x v="5"/>
    <n v="13"/>
    <n v="0"/>
    <n v="1"/>
    <n v="1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320"/>
    <s v="Associate Data Engineer"/>
    <n v="3.5"/>
    <s v="EAB"/>
    <s v="Washington | DC"/>
    <s v="Washington | DC"/>
    <s v="1001 - 5000"/>
    <n v="2007"/>
    <x v="0"/>
    <s v="Research &amp; Development"/>
    <s v="Business Services"/>
    <s v="Unknown / Non-Applicable"/>
    <s v="Unknown"/>
    <n v="0"/>
    <n v="0"/>
    <n v="45000"/>
    <n v="86000"/>
    <n v="65500"/>
    <x v="16"/>
    <n v="16"/>
    <n v="0"/>
    <n v="1"/>
    <n v="1"/>
    <n v="1"/>
    <n v="1"/>
    <n v="0"/>
    <n v="0"/>
    <n v="0"/>
    <n v="0"/>
    <n v="0"/>
    <n v="0"/>
    <n v="0"/>
    <n v="0"/>
    <n v="0"/>
    <n v="0"/>
    <n v="0"/>
    <x v="3"/>
    <s v="intermediate"/>
    <s v="Masters"/>
  </r>
  <r>
    <n v="321"/>
    <s v="Senior Data Scientist"/>
    <n v="3.5"/>
    <s v="Brighthouse Financial"/>
    <s v="Charlotte | NC"/>
    <s v="Charlotte | NC"/>
    <s v="1001 - 5000"/>
    <n v="2017"/>
    <x v="3"/>
    <s v="Insurance Carriers"/>
    <s v="Insurance"/>
    <s v="Unknown / Non-Applicable"/>
    <s v="Unknown"/>
    <n v="0"/>
    <n v="0"/>
    <n v="95000"/>
    <n v="154000"/>
    <n v="124500"/>
    <x v="25"/>
    <n v="6"/>
    <n v="1"/>
    <n v="1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322"/>
    <s v="Staff BI and Data Engineer"/>
    <n v="2.9"/>
    <s v="Affinity Solutions"/>
    <s v="San | CA"/>
    <s v="New York | NY"/>
    <s v="51 - 200"/>
    <n v="1998"/>
    <x v="0"/>
    <s v="Advertising &amp; Marketing"/>
    <s v="Business Services"/>
    <s v="Unknown / Non-Applicable"/>
    <s v="Commerce Signals, Cardlytics, Yodlee"/>
    <n v="0"/>
    <n v="0"/>
    <n v="80000"/>
    <n v="148000"/>
    <n v="114000"/>
    <x v="6"/>
    <n v="25"/>
    <n v="1"/>
    <n v="1"/>
    <n v="0"/>
    <n v="0"/>
    <n v="1"/>
    <n v="0"/>
    <n v="0"/>
    <n v="0"/>
    <n v="0"/>
    <n v="0"/>
    <n v="0"/>
    <n v="1"/>
    <n v="0"/>
    <n v="0"/>
    <n v="0"/>
    <n v="0"/>
    <x v="3"/>
    <s v="intermediate"/>
    <s v="Masters"/>
  </r>
  <r>
    <n v="323"/>
    <s v="Marketing Data Analyst"/>
    <n v="3.9"/>
    <s v="Citadel Federal Credit Union"/>
    <s v="Exton | PA"/>
    <s v="Exton | PA"/>
    <s v="501 - 1000"/>
    <n v="1937"/>
    <x v="6"/>
    <s v="Banks &amp; Credit Unions"/>
    <s v="Finance"/>
    <s v="Unknown / Non-Applicable"/>
    <s v="TruMark Financial, North Island Credit Union, CommunityAmerica Credit Union"/>
    <n v="0"/>
    <n v="0"/>
    <n v="36000"/>
    <n v="62000"/>
    <n v="49000"/>
    <x v="20"/>
    <n v="86"/>
    <n v="1"/>
    <n v="0"/>
    <n v="0"/>
    <n v="0"/>
    <n v="1"/>
    <n v="0"/>
    <n v="0"/>
    <n v="0"/>
    <n v="0"/>
    <n v="0"/>
    <n v="0"/>
    <n v="1"/>
    <n v="1"/>
    <n v="0"/>
    <n v="0"/>
    <n v="0"/>
    <x v="2"/>
    <s v="intermediate"/>
    <s v="Graduates"/>
  </r>
  <r>
    <n v="324"/>
    <s v="Principal Scientist, Hemat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325"/>
    <s v="Data Analyst"/>
    <n v="3.7"/>
    <s v="CALIBRE Systems"/>
    <s v="Alexandria | VA"/>
    <s v="Alexandria | VA"/>
    <s v="501 - 1000"/>
    <n v="1989"/>
    <x v="0"/>
    <s v="IT Services"/>
    <s v="Information Technology"/>
    <s v="500 million"/>
    <s v="CSC, Booz Allen Hamilton, ManTech"/>
    <n v="0"/>
    <n v="0"/>
    <n v="50000"/>
    <n v="92000"/>
    <n v="71000"/>
    <x v="7"/>
    <n v="34"/>
    <n v="0"/>
    <n v="0"/>
    <n v="0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326"/>
    <s v="Director - Data, Privacy and AI Governance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67000"/>
    <n v="135000"/>
    <n v="101000"/>
    <x v="8"/>
    <n v="172"/>
    <n v="0"/>
    <n v="0"/>
    <n v="0"/>
    <n v="0"/>
    <n v="0"/>
    <n v="0"/>
    <n v="0"/>
    <n v="0"/>
    <n v="0"/>
    <n v="0"/>
    <n v="0"/>
    <n v="0"/>
    <n v="0"/>
    <n v="0"/>
    <n v="0"/>
    <n v="0"/>
    <x v="8"/>
    <s v="intermediate"/>
    <s v="Graduates"/>
  </r>
  <r>
    <n v="327"/>
    <s v="Data Scientist"/>
    <n v="3.5"/>
    <s v="Esri"/>
    <s v="Redlands | CA"/>
    <s v="Redlands | CA"/>
    <s v="1001 - 5000"/>
    <n v="1969"/>
    <x v="0"/>
    <s v="Computer Hardware &amp; Software"/>
    <s v="Information Technology"/>
    <s v="2 billion "/>
    <s v="Pitney Bowes"/>
    <n v="0"/>
    <n v="0"/>
    <n v="82000"/>
    <n v="132000"/>
    <n v="107000"/>
    <x v="6"/>
    <n v="54"/>
    <n v="1"/>
    <n v="1"/>
    <n v="1"/>
    <n v="0"/>
    <n v="0"/>
    <n v="0"/>
    <n v="0"/>
    <n v="0"/>
    <n v="0"/>
    <n v="0"/>
    <n v="1"/>
    <n v="1"/>
    <n v="0"/>
    <n v="0"/>
    <n v="1"/>
    <n v="0"/>
    <x v="0"/>
    <s v="intermediate"/>
    <s v="Masters"/>
  </r>
  <r>
    <n v="328"/>
    <s v="Data Scientist"/>
    <n v="4.7"/>
    <s v="New England Biolabs"/>
    <s v="Ipswich | MA"/>
    <s v="Ipswich | MA"/>
    <s v="201 - 500"/>
    <n v="1974"/>
    <x v="0"/>
    <s v="Biotech &amp; Pharmaceuticals"/>
    <s v="Biotech &amp; Pharmaceuticals"/>
    <s v="Unknown / Non-Applicable"/>
    <s v="Thermo Fisher Scientific, Enzymatics, Illumina"/>
    <n v="0"/>
    <n v="0"/>
    <n v="85000"/>
    <n v="140000"/>
    <n v="112500"/>
    <x v="8"/>
    <n v="49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329"/>
    <s v="Staff Machine Learning Engineer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138000"/>
    <n v="224000"/>
    <n v="181000"/>
    <x v="6"/>
    <n v="16"/>
    <n v="1"/>
    <n v="1"/>
    <n v="0"/>
    <n v="0"/>
    <n v="1"/>
    <n v="0"/>
    <n v="0"/>
    <n v="0"/>
    <n v="1"/>
    <n v="1"/>
    <n v="0"/>
    <n v="0"/>
    <n v="0"/>
    <n v="0"/>
    <n v="0"/>
    <n v="0"/>
    <x v="7"/>
    <s v="intermediate"/>
    <s v="Graduates"/>
  </r>
  <r>
    <n v="330"/>
    <s v="Information Security Data Analyst"/>
    <n v="3.7"/>
    <s v="Motorola Solutions"/>
    <s v="Chicago | IL"/>
    <s v="Chicago | IL"/>
    <s v="10000+"/>
    <n v="1928"/>
    <x v="3"/>
    <s v="Computer Hardware &amp; Software"/>
    <s v="Information Technology"/>
    <s v="10 billion"/>
    <s v="Cisco Systems, Huawei Technologies, IBM"/>
    <n v="0"/>
    <n v="0"/>
    <n v="42000"/>
    <n v="80000"/>
    <n v="61000"/>
    <x v="11"/>
    <n v="95"/>
    <n v="1"/>
    <n v="1"/>
    <n v="0"/>
    <n v="0"/>
    <n v="1"/>
    <n v="0"/>
    <n v="0"/>
    <n v="0"/>
    <n v="0"/>
    <n v="0"/>
    <n v="1"/>
    <n v="0"/>
    <n v="0"/>
    <n v="0"/>
    <n v="0"/>
    <n v="0"/>
    <x v="2"/>
    <s v="intermediate"/>
    <s v="Masters"/>
  </r>
  <r>
    <n v="331"/>
    <s v="Lead Data Engineer"/>
    <n v="4.0999999999999996"/>
    <s v="Credit Sesame"/>
    <s v="Mountain | CA"/>
    <s v="Mountain View | CA"/>
    <s v="51 - 200"/>
    <n v="2010"/>
    <x v="0"/>
    <s v="Internet"/>
    <s v="Information Technology"/>
    <s v="100 million "/>
    <s v="Credit Karma, LendUp, SoFi"/>
    <n v="0"/>
    <n v="0"/>
    <n v="190000"/>
    <n v="220000"/>
    <n v="205000"/>
    <x v="6"/>
    <n v="13"/>
    <n v="1"/>
    <n v="1"/>
    <n v="1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332"/>
    <s v="Scientist Manufacturing - Kentucky BioProcessing"/>
    <n v="3.1"/>
    <s v="Reynolds American"/>
    <s v="Owensboro | KY"/>
    <s v="Winston-Salem | NC"/>
    <s v="5001 - 10000"/>
    <n v="1875"/>
    <x v="0"/>
    <s v="Consumer Products Manufacturing"/>
    <s v="Manufacturing"/>
    <s v="10 billion "/>
    <s v="Unknown"/>
    <n v="0"/>
    <n v="0"/>
    <n v="68000"/>
    <n v="139000"/>
    <n v="103500"/>
    <x v="12"/>
    <n v="14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33"/>
    <s v="Data Analytics Project Manager"/>
    <n v="3.6"/>
    <s v="MassMutual"/>
    <s v="Springfield | MA"/>
    <s v="Springfield | MA"/>
    <s v="5001 - 10000"/>
    <n v="1851"/>
    <x v="0"/>
    <s v="Insurance Carriers"/>
    <s v="Insurance"/>
    <s v="10 billion "/>
    <s v="Unknown"/>
    <n v="0"/>
    <n v="0"/>
    <n v="34000"/>
    <n v="92000"/>
    <n v="63000"/>
    <x v="8"/>
    <n v="172"/>
    <n v="0"/>
    <n v="0"/>
    <n v="0"/>
    <n v="1"/>
    <n v="0"/>
    <n v="0"/>
    <n v="0"/>
    <n v="0"/>
    <n v="0"/>
    <n v="0"/>
    <n v="0"/>
    <n v="0"/>
    <n v="0"/>
    <n v="0"/>
    <n v="0"/>
    <n v="0"/>
    <x v="6"/>
    <s v="intermediate"/>
    <s v="Masters"/>
  </r>
  <r>
    <n v="334"/>
    <s v="Consultant - Analytics Consulting"/>
    <n v="3"/>
    <s v="Infosys"/>
    <s v="Hartford | CT"/>
    <s v="Bengaluru | India"/>
    <s v="10000+"/>
    <n v="1981"/>
    <x v="3"/>
    <s v="IT Services"/>
    <s v="Information Technology"/>
    <s v="10 billion "/>
    <s v="Tata Consultancy Services, Accenture, Cognizant Technology Solutions"/>
    <n v="0"/>
    <n v="0"/>
    <n v="54000"/>
    <n v="71000"/>
    <n v="62500"/>
    <x v="14"/>
    <n v="42"/>
    <n v="0"/>
    <n v="0"/>
    <n v="0"/>
    <n v="1"/>
    <n v="0"/>
    <n v="0"/>
    <n v="0"/>
    <n v="0"/>
    <n v="0"/>
    <n v="0"/>
    <n v="0"/>
    <n v="0"/>
    <n v="0"/>
    <n v="0"/>
    <n v="0"/>
    <n v="0"/>
    <x v="4"/>
    <s v="intermediate"/>
    <s v="Graduates"/>
  </r>
  <r>
    <n v="335"/>
    <s v="Data Engineer"/>
    <n v="3.5"/>
    <s v="Alignment Healthcare"/>
    <s v="Orange | CA"/>
    <s v="Orange | CA"/>
    <s v="501 - 1000"/>
    <n v="2013"/>
    <x v="0"/>
    <s v="Health Care Services &amp; Hospitals"/>
    <s v="Health Care"/>
    <s v="Unknown / Non-Applicable"/>
    <s v="Unknown"/>
    <n v="0"/>
    <n v="0"/>
    <n v="65000"/>
    <n v="124000"/>
    <n v="94500"/>
    <x v="6"/>
    <n v="10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Masters"/>
  </r>
  <r>
    <n v="336"/>
    <s v="Marketing Data Analyst"/>
    <n v="3.6"/>
    <s v="San Manuel Casino"/>
    <s v="Highland | CA"/>
    <s v="Highland | CA"/>
    <s v="1001 - 5000"/>
    <n v="1986"/>
    <x v="0"/>
    <s v="Gambling"/>
    <s v="Arts, Entertainment &amp; Recreation"/>
    <s v="500 million"/>
    <s v="Unknown"/>
    <n v="0"/>
    <n v="0"/>
    <n v="35000"/>
    <n v="62000"/>
    <n v="48500"/>
    <x v="6"/>
    <n v="37"/>
    <n v="0"/>
    <n v="0"/>
    <n v="0"/>
    <n v="1"/>
    <n v="1"/>
    <n v="1"/>
    <n v="0"/>
    <n v="0"/>
    <n v="0"/>
    <n v="0"/>
    <n v="0"/>
    <n v="1"/>
    <n v="0"/>
    <n v="0"/>
    <n v="0"/>
    <n v="1"/>
    <x v="2"/>
    <s v="intermediate"/>
    <s v="Masters"/>
  </r>
  <r>
    <n v="337"/>
    <s v="Senior Scientist (Neuroscience)"/>
    <n v="3.5"/>
    <s v="Sunovion"/>
    <s v="Marlborough | MA"/>
    <s v="Marlborough | MA"/>
    <s v="1001 - 5000"/>
    <n v="2010"/>
    <x v="0"/>
    <s v="Biotech &amp; Pharmaceuticals"/>
    <s v="Biotech &amp; Pharmaceuticals"/>
    <s v="2 billion "/>
    <s v="Shire, GlaxoSmithKline, Allergan"/>
    <n v="0"/>
    <n v="0"/>
    <n v="109000"/>
    <n v="200000"/>
    <n v="154500"/>
    <x v="8"/>
    <n v="13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338"/>
    <s v="Medical Laboratory Scientist"/>
    <n v="4"/>
    <s v="Texas Health Huguley Hospital"/>
    <s v="Burleson | TX"/>
    <s v="Arlington | TX"/>
    <s v="1001 - 5000"/>
    <n v="1977"/>
    <x v="4"/>
    <s v="Health Care Services &amp; Hospitals"/>
    <s v="Health Care"/>
    <s v="100 million "/>
    <s v="Unknown"/>
    <n v="1"/>
    <n v="0"/>
    <n v="37000"/>
    <n v="52000"/>
    <n v="44500"/>
    <x v="5"/>
    <n v="46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39"/>
    <s v="Machine Learning Engineer - Regulatory"/>
    <n v="3.7"/>
    <s v="Cboe Global Markets"/>
    <s v="Lenexa | KS"/>
    <s v="Chicago | IL"/>
    <s v="501 - 1000"/>
    <n v="1973"/>
    <x v="3"/>
    <s v="Stock Exchanges"/>
    <s v="Finance"/>
    <s v="750 million"/>
    <s v="Unknown"/>
    <n v="0"/>
    <n v="0"/>
    <n v="61000"/>
    <n v="113000"/>
    <n v="87000"/>
    <x v="36"/>
    <n v="50"/>
    <n v="1"/>
    <n v="0"/>
    <n v="0"/>
    <n v="1"/>
    <n v="1"/>
    <n v="0"/>
    <n v="0"/>
    <n v="0"/>
    <n v="0"/>
    <n v="0"/>
    <n v="1"/>
    <n v="0"/>
    <n v="0"/>
    <n v="0"/>
    <n v="0"/>
    <n v="0"/>
    <x v="7"/>
    <s v="intermediate"/>
    <s v="Graduates"/>
  </r>
  <r>
    <n v="340"/>
    <s v="R&amp;D Specialist/ Food Scientist"/>
    <n v="2.4"/>
    <s v="Teasdale Latin Foods"/>
    <s v="Hoopeston | IL"/>
    <s v="Flower Mound | TX"/>
    <s v="501 - 1000"/>
    <s v="Unknown"/>
    <x v="0"/>
    <s v="Food &amp; Beverage Manufacturing"/>
    <s v="Manufacturing"/>
    <s v="500 million"/>
    <s v="Unknown"/>
    <n v="0"/>
    <n v="0"/>
    <n v="39000"/>
    <n v="66000"/>
    <n v="52500"/>
    <x v="11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41"/>
    <s v="Data Engineer"/>
    <n v="3.2"/>
    <s v="Guidepoint"/>
    <s v="New | NY"/>
    <s v="New York | NY"/>
    <s v="501 - 1000"/>
    <n v="2003"/>
    <x v="0"/>
    <s v="Research &amp; Development"/>
    <s v="Business Services"/>
    <s v="Unknown / Non-Applicable"/>
    <s v="Coleman Research, AlphaSights, Third Bridge"/>
    <n v="0"/>
    <n v="0"/>
    <n v="43000"/>
    <n v="86000"/>
    <n v="64500"/>
    <x v="4"/>
    <n v="20"/>
    <n v="1"/>
    <n v="0"/>
    <n v="1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342"/>
    <s v="Scientist, Bacteriology"/>
    <n v="2.1"/>
    <s v="Cerus Corporation"/>
    <s v="Concord | CA"/>
    <s v="Concord | CA"/>
    <s v="201 - 500"/>
    <s v="Unknown"/>
    <x v="3"/>
    <s v="Biotech &amp; Pharmaceuticals"/>
    <s v="Biotech &amp; Pharmaceuticals"/>
    <s v="50 million "/>
    <s v="Unknown"/>
    <n v="0"/>
    <n v="0"/>
    <n v="74000"/>
    <n v="149000"/>
    <n v="111500"/>
    <x v="6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343"/>
    <s v="Associate Director, Platform and DevOps- Data Engineering and Aritifical Intelligence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113000"/>
    <n v="196000"/>
    <n v="154500"/>
    <x v="8"/>
    <n v="242"/>
    <n v="0"/>
    <n v="1"/>
    <n v="1"/>
    <n v="1"/>
    <n v="1"/>
    <n v="0"/>
    <n v="0"/>
    <n v="0"/>
    <n v="0"/>
    <n v="0"/>
    <n v="1"/>
    <n v="0"/>
    <n v="0"/>
    <n v="0"/>
    <n v="1"/>
    <n v="0"/>
    <x v="3"/>
    <s v="intermediate"/>
    <s v="Masters"/>
  </r>
  <r>
    <n v="344"/>
    <s v="Senior Research Scientist-Machine Learning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67000"/>
    <n v="124000"/>
    <x v="20"/>
    <n v="39"/>
    <n v="0"/>
    <n v="0"/>
    <n v="0"/>
    <n v="0"/>
    <n v="0"/>
    <n v="0"/>
    <n v="0"/>
    <n v="0"/>
    <n v="0"/>
    <n v="0"/>
    <n v="0"/>
    <n v="0"/>
    <n v="0"/>
    <n v="0"/>
    <n v="0"/>
    <n v="0"/>
    <x v="7"/>
    <s v="Senior "/>
    <s v="Post Graduates"/>
  </r>
  <r>
    <n v="345"/>
    <s v="Senior Data Scientist"/>
    <n v="4.4000000000000004"/>
    <s v="Maven Wave Partners"/>
    <s v="Chicago | IL"/>
    <s v="Chicago | IL"/>
    <s v="201 - 500"/>
    <n v="2008"/>
    <x v="0"/>
    <s v="Consulting"/>
    <s v="Business Services"/>
    <s v="100 million "/>
    <s v="Unknown"/>
    <n v="0"/>
    <n v="0"/>
    <n v="97000"/>
    <n v="160000"/>
    <n v="128500"/>
    <x v="11"/>
    <n v="15"/>
    <n v="1"/>
    <n v="0"/>
    <n v="1"/>
    <n v="1"/>
    <n v="1"/>
    <n v="0"/>
    <n v="0"/>
    <n v="0"/>
    <n v="0"/>
    <n v="0"/>
    <n v="1"/>
    <n v="1"/>
    <n v="0"/>
    <n v="0"/>
    <n v="0"/>
    <n v="0"/>
    <x v="0"/>
    <s v="Senior "/>
    <s v="Graduates"/>
  </r>
  <r>
    <n v="346"/>
    <s v="Clinical Laboratory Scientist"/>
    <n v="3.7"/>
    <s v="Vail Health"/>
    <s v="Vail | CO"/>
    <s v="Vail | CO"/>
    <s v="501 - 1000"/>
    <n v="1966"/>
    <x v="4"/>
    <s v="Health Care Services &amp; Hospitals"/>
    <s v="Health Care"/>
    <s v="500 million"/>
    <s v="Unknown"/>
    <n v="1"/>
    <n v="0"/>
    <n v="49000"/>
    <n v="81000"/>
    <n v="65000"/>
    <x v="10"/>
    <n v="5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47"/>
    <s v="Analytics Manager - Data Mart"/>
    <n v="3.5"/>
    <s v="Central California Alliance for Health"/>
    <s v="Scotts | CA"/>
    <s v="Scotts Valley | CA"/>
    <s v="501 - 1000"/>
    <n v="1996"/>
    <x v="6"/>
    <s v="Health Care Services &amp; Hospitals"/>
    <s v="Health Care"/>
    <s v="750 million"/>
    <s v="Unknown"/>
    <n v="0"/>
    <n v="0"/>
    <n v="42000"/>
    <n v="86000"/>
    <n v="64000"/>
    <x v="6"/>
    <n v="27"/>
    <n v="0"/>
    <n v="0"/>
    <n v="0"/>
    <n v="0"/>
    <n v="1"/>
    <n v="0"/>
    <n v="0"/>
    <n v="0"/>
    <n v="0"/>
    <n v="0"/>
    <n v="0"/>
    <n v="1"/>
    <n v="0"/>
    <n v="0"/>
    <n v="0"/>
    <n v="0"/>
    <x v="6"/>
    <s v="intermediate"/>
    <s v="Graduates"/>
  </r>
  <r>
    <n v="348"/>
    <s v="Sr. Data Engineer - Contract-to-Hire (Java)"/>
    <n v="3"/>
    <s v="Pilot Flying J Travel Centers LLC"/>
    <s v="Knoxville | TN"/>
    <s v="Knoxville | TN"/>
    <s v="10000+"/>
    <n v="1958"/>
    <x v="0"/>
    <s v="Gas Stations"/>
    <s v="Retail"/>
    <s v="10 billion "/>
    <s v="TravelCenters of America, Love's Travel Stops &amp; Country Stores, Wawa"/>
    <n v="0"/>
    <n v="0"/>
    <n v="69000"/>
    <n v="127000"/>
    <n v="98000"/>
    <x v="30"/>
    <n v="65"/>
    <n v="1"/>
    <n v="0"/>
    <n v="0"/>
    <n v="0"/>
    <n v="1"/>
    <n v="0"/>
    <n v="0"/>
    <n v="0"/>
    <n v="0"/>
    <n v="0"/>
    <n v="0"/>
    <n v="0"/>
    <n v="0"/>
    <n v="0"/>
    <n v="0"/>
    <n v="0"/>
    <x v="3"/>
    <s v="Senior "/>
    <s v="Masters"/>
  </r>
  <r>
    <n v="349"/>
    <s v="Data Scientist - Algorithms &amp; Inference"/>
    <n v="4.2"/>
    <s v="Nuna"/>
    <s v="San | CA"/>
    <s v="San Francisco | CA"/>
    <s v="51 - 200"/>
    <n v="2010"/>
    <x v="0"/>
    <s v="Enterprise Software &amp; Network Solutions"/>
    <s v="Information Technology"/>
    <s v="Unknown / Non-Applicable"/>
    <s v="Unknown"/>
    <n v="0"/>
    <n v="0"/>
    <n v="110000"/>
    <n v="175000"/>
    <n v="142500"/>
    <x v="6"/>
    <n v="13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350"/>
    <s v="Senior Data Scientist - R&amp;D Oncology"/>
    <n v="3.9"/>
    <s v="AstraZeneca"/>
    <s v="New | NY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02000"/>
    <n v="172000"/>
    <n v="137000"/>
    <x v="4"/>
    <n v="110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351"/>
    <s v="Data Engineer"/>
    <n v="4"/>
    <s v="Pinnacol Assurance"/>
    <s v="Denver | CO"/>
    <s v="Denver | CO"/>
    <s v="501 - 1000"/>
    <n v="1915"/>
    <x v="6"/>
    <s v="Insurance Carriers"/>
    <s v="Insurance"/>
    <s v="750 million"/>
    <s v="Unknown"/>
    <n v="0"/>
    <n v="0"/>
    <n v="74000"/>
    <n v="124000"/>
    <n v="99000"/>
    <x v="10"/>
    <n v="108"/>
    <n v="1"/>
    <n v="0"/>
    <n v="1"/>
    <n v="0"/>
    <n v="1"/>
    <n v="0"/>
    <n v="0"/>
    <n v="0"/>
    <n v="0"/>
    <n v="0"/>
    <n v="0"/>
    <n v="0"/>
    <n v="0"/>
    <n v="0"/>
    <n v="0"/>
    <n v="0"/>
    <x v="3"/>
    <s v="intermediate"/>
    <s v="Masters"/>
  </r>
  <r>
    <n v="352"/>
    <s v="Food Scientist - Developer"/>
    <n v="3.3"/>
    <s v="Palermo's Pizza"/>
    <s v="Milwaukee | WI"/>
    <s v="Milwaukee | WI"/>
    <s v="501 - 1000"/>
    <n v="1964"/>
    <x v="0"/>
    <s v="Food &amp; Beverage Manufacturing"/>
    <s v="Manufacturing"/>
    <s v="Unknown / Non-Applicable"/>
    <s v="Unknown"/>
    <n v="0"/>
    <n v="0"/>
    <n v="40000"/>
    <n v="68000"/>
    <n v="54000"/>
    <x v="24"/>
    <n v="59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53"/>
    <s v="Senior Data Scientist"/>
    <n v="4.4000000000000004"/>
    <s v="MathWorks"/>
    <s v="Natick | MA"/>
    <s v="Natick | MA"/>
    <s v="1001 - 5000"/>
    <n v="1984"/>
    <x v="0"/>
    <s v="Computer Hardware &amp; Software"/>
    <s v="Information Technology"/>
    <s v="2 billion "/>
    <s v="Unknown"/>
    <n v="0"/>
    <n v="0"/>
    <n v="108000"/>
    <n v="171000"/>
    <n v="139500"/>
    <x v="8"/>
    <n v="39"/>
    <n v="1"/>
    <n v="0"/>
    <n v="0"/>
    <n v="0"/>
    <n v="1"/>
    <n v="0"/>
    <n v="0"/>
    <n v="0"/>
    <n v="0"/>
    <n v="0"/>
    <n v="0"/>
    <n v="1"/>
    <n v="1"/>
    <n v="0"/>
    <n v="0"/>
    <n v="0"/>
    <x v="0"/>
    <s v="Senior "/>
    <s v="Masters"/>
  </r>
  <r>
    <n v="354"/>
    <s v="Data Engineer"/>
    <n v="3.4"/>
    <s v="MetroStar Systems"/>
    <s v="Rockville | MD"/>
    <s v="Reston | VA"/>
    <s v="201 - 500"/>
    <n v="1999"/>
    <x v="0"/>
    <s v="IT Services"/>
    <s v="Information Technology"/>
    <s v="50 million "/>
    <s v="Unknown"/>
    <n v="0"/>
    <n v="0"/>
    <n v="76000"/>
    <n v="142000"/>
    <n v="109000"/>
    <x v="1"/>
    <n v="24"/>
    <n v="0"/>
    <n v="0"/>
    <n v="1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355"/>
    <s v="Director II, Data Science - GRM Actuarial"/>
    <n v="3.3"/>
    <s v="Liberty Mutual Insurance"/>
    <s v="Chicago | IL"/>
    <s v="Boston | MA"/>
    <s v="10000+"/>
    <n v="1912"/>
    <x v="0"/>
    <s v="Insurance Carriers"/>
    <s v="Insurance"/>
    <s v="10 billion "/>
    <s v="Travelers, Allstate, State Farm"/>
    <n v="0"/>
    <n v="0"/>
    <n v="202000"/>
    <n v="306000"/>
    <n v="254000"/>
    <x v="11"/>
    <n v="111"/>
    <n v="1"/>
    <n v="0"/>
    <n v="0"/>
    <n v="0"/>
    <n v="0"/>
    <n v="1"/>
    <n v="0"/>
    <n v="0"/>
    <n v="0"/>
    <n v="0"/>
    <n v="0"/>
    <n v="0"/>
    <n v="0"/>
    <n v="0"/>
    <n v="0"/>
    <n v="0"/>
    <x v="0"/>
    <s v="intermediate"/>
    <s v="Masters"/>
  </r>
  <r>
    <n v="356"/>
    <s v="Scientist, Molecular/Cellular Biologist"/>
    <n v="2.9"/>
    <s v="Audentes Therapeutics"/>
    <s v="South | CA"/>
    <s v="San Francisco | CA"/>
    <s v="201 - 500"/>
    <n v="2012"/>
    <x v="5"/>
    <s v="Biotech &amp; Pharmaceuticals"/>
    <s v="Biotech &amp; Pharmaceuticals"/>
    <s v="Unknown / Non-Applicable"/>
    <s v="BioMarin Pharmaceutical, Sangamo Therapeutics, bluebird bio"/>
    <n v="0"/>
    <n v="0"/>
    <n v="49000"/>
    <n v="97000"/>
    <n v="73000"/>
    <x v="6"/>
    <n v="11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357"/>
    <s v="Staff Scientist-Downstream Process Development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358"/>
    <s v="MED TECH/LAB SCIENTIST- SOUTH COASTAL LAB"/>
    <n v="3.6"/>
    <s v="Beebe Healthcare"/>
    <s v="Millville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59"/>
    <s v="Scientist - Analytical Service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65000"/>
    <n v="134000"/>
    <n v="99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360"/>
    <s v="Associate Data Analyst- Graduate Development Program"/>
    <n v="3.3"/>
    <s v="National Interstate"/>
    <s v="Richfield | OH"/>
    <s v="Richfield | OH"/>
    <s v="501 - 1000"/>
    <n v="1989"/>
    <x v="0"/>
    <s v="Insurance Carriers"/>
    <s v="Insurance"/>
    <s v="750 million"/>
    <s v="Unknown"/>
    <n v="0"/>
    <n v="0"/>
    <n v="32000"/>
    <n v="59000"/>
    <n v="45500"/>
    <x v="17"/>
    <n v="34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Graduates"/>
  </r>
  <r>
    <n v="361"/>
    <s v="Sr. Data Engineer"/>
    <n v="4.5"/>
    <s v="Moser Consulting"/>
    <s v="Indianapolis | IN"/>
    <s v="Indianapolis | IN"/>
    <s v="51 - 200"/>
    <n v="1996"/>
    <x v="0"/>
    <s v="Consulting"/>
    <s v="Business Services"/>
    <s v="50 million "/>
    <s v="Unknown"/>
    <n v="0"/>
    <n v="0"/>
    <n v="87000"/>
    <n v="158000"/>
    <n v="122500"/>
    <x v="22"/>
    <n v="27"/>
    <n v="1"/>
    <n v="1"/>
    <n v="1"/>
    <n v="0"/>
    <n v="1"/>
    <n v="0"/>
    <n v="0"/>
    <n v="0"/>
    <n v="0"/>
    <n v="0"/>
    <n v="1"/>
    <n v="0"/>
    <n v="0"/>
    <n v="0"/>
    <n v="1"/>
    <n v="0"/>
    <x v="3"/>
    <s v="Senior "/>
    <s v="Graduates"/>
  </r>
  <r>
    <n v="362"/>
    <s v="Senior Insurance Data Scientist"/>
    <n v="3.9"/>
    <s v="TransUnion"/>
    <s v="Chicago | IL"/>
    <s v="Chicago | IL"/>
    <s v="5001 - 10000"/>
    <n v="1968"/>
    <x v="3"/>
    <s v="Financial Analytics &amp; Research"/>
    <s v="Finance"/>
    <s v="2 billion "/>
    <s v="Unknown"/>
    <n v="0"/>
    <n v="0"/>
    <n v="107000"/>
    <n v="173000"/>
    <n v="140000"/>
    <x v="11"/>
    <n v="55"/>
    <n v="1"/>
    <n v="0"/>
    <n v="0"/>
    <n v="1"/>
    <n v="1"/>
    <n v="1"/>
    <n v="0"/>
    <n v="0"/>
    <n v="0"/>
    <n v="0"/>
    <n v="0"/>
    <n v="0"/>
    <n v="0"/>
    <n v="0"/>
    <n v="0"/>
    <n v="0"/>
    <x v="0"/>
    <s v="Senior "/>
    <s v="Graduates"/>
  </r>
  <r>
    <n v="363"/>
    <s v="Senior Data Science Systems Engineer"/>
    <n v="3.2"/>
    <s v="MITRE"/>
    <s v="Hampton | VA"/>
    <s v="Bedford | MA"/>
    <s v="5001 - 10000"/>
    <n v="1958"/>
    <x v="6"/>
    <s v="Federal Agencies"/>
    <s v="Government"/>
    <s v="2 billion "/>
    <s v="Battelle, General Atomics, SAIC"/>
    <n v="0"/>
    <n v="0"/>
    <n v="56000"/>
    <n v="99000"/>
    <n v="77500"/>
    <x v="7"/>
    <n v="65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364"/>
    <s v="ENVIRONMENTAL ENGINEER/SCIENTIST"/>
    <n v="3.3"/>
    <s v="Mcphail Associates"/>
    <s v="Cambridge | MA"/>
    <s v="Cambridge | MA"/>
    <n v="500"/>
    <n v="1976"/>
    <x v="0"/>
    <s v="Construction"/>
    <s v="Construction, Repair &amp; Maintenance"/>
    <s v="Unknown / Non-Applicable"/>
    <s v="Unknown"/>
    <n v="1"/>
    <n v="1"/>
    <n v="52000"/>
    <n v="58000"/>
    <n v="55000"/>
    <x v="8"/>
    <n v="47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365"/>
    <s v="Senior Scientist - Regulatory Submission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80000"/>
    <n v="155000"/>
    <n v="117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366"/>
    <s v="Scientist - Biomarker and Flow Cytometry"/>
    <n v="2.4"/>
    <s v="Crown Bioscience"/>
    <s v="San | CA"/>
    <s v="San Diego | CA"/>
    <s v="501 - 1000"/>
    <n v="2006"/>
    <x v="0"/>
    <s v="Biotech &amp; Pharmaceuticals"/>
    <s v="Biotech &amp; Pharmaceuticals"/>
    <s v="100 million "/>
    <s v="Unknown"/>
    <n v="0"/>
    <n v="0"/>
    <n v="43000"/>
    <n v="98000"/>
    <n v="70500"/>
    <x v="6"/>
    <n v="1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367"/>
    <s v="Revenue Analytics Manager"/>
    <n v="4.8"/>
    <s v="HOVER"/>
    <s v="San | CA"/>
    <s v="San Francisco | CA"/>
    <s v="51 - 200"/>
    <n v="2011"/>
    <x v="0"/>
    <s v="Computer Hardware &amp; Software"/>
    <s v="Information Technology"/>
    <s v="50 million "/>
    <s v="Unknown"/>
    <n v="0"/>
    <n v="0"/>
    <n v="45000"/>
    <n v="78000"/>
    <n v="61500"/>
    <x v="6"/>
    <n v="12"/>
    <n v="0"/>
    <n v="0"/>
    <n v="0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368"/>
    <s v="Associate Scientist, LC/MS Biologics"/>
    <n v="2.9"/>
    <s v="Q2 Solutions"/>
    <s v="Ithaca | NY"/>
    <s v="Morrisville | NC"/>
    <s v="1001 - 5000"/>
    <n v="2015"/>
    <x v="0"/>
    <s v="Biotech &amp; Pharmaceuticals"/>
    <s v="Biotech &amp; Pharmaceuticals"/>
    <s v="Unknown / Non-Applicable"/>
    <s v="Unknown"/>
    <n v="0"/>
    <n v="0"/>
    <n v="44000"/>
    <n v="96000"/>
    <n v="70000"/>
    <x v="4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369"/>
    <s v="Sr. Scientist Method Development"/>
    <n v="2.9"/>
    <s v="Q2 Solutions"/>
    <s v="Marietta | GA"/>
    <s v="Morrisville | NC"/>
    <s v="1001 - 5000"/>
    <n v="2015"/>
    <x v="0"/>
    <s v="Biotech &amp; Pharmaceuticals"/>
    <s v="Biotech &amp; Pharmaceuticals"/>
    <s v="Unknown / Non-Applicable"/>
    <s v="Unknown"/>
    <n v="0"/>
    <n v="0"/>
    <n v="50000"/>
    <n v="110000"/>
    <n v="80000"/>
    <x v="21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Graduates"/>
  </r>
  <r>
    <n v="370"/>
    <s v="IT - Data Engineer II"/>
    <n v="3.4"/>
    <s v="Arbella Insurance"/>
    <s v="Quincy | MA"/>
    <s v="Quincy | MA"/>
    <s v="1001 - 5000"/>
    <n v="1988"/>
    <x v="0"/>
    <s v="Insurance Carriers"/>
    <s v="Insurance"/>
    <s v="500 million"/>
    <s v="Unknown"/>
    <n v="0"/>
    <n v="0"/>
    <n v="61000"/>
    <n v="119000"/>
    <n v="90000"/>
    <x v="8"/>
    <n v="35"/>
    <n v="0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371"/>
    <s v="Research Scientist, Immunology - Cancer Biology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00000"/>
    <n v="140000"/>
    <n v="1200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372"/>
    <s v="Project Scientist - Auton Lab, Robotics Institute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56000"/>
    <n v="91000"/>
    <n v="73500"/>
    <x v="20"/>
    <n v="39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373"/>
    <s v="Data Scientist"/>
    <n v="3.8"/>
    <s v="Zimmerman Advertising"/>
    <s v="Fort | FL"/>
    <s v="Fort Lauderdale | FL"/>
    <s v="501 - 1000"/>
    <n v="1984"/>
    <x v="5"/>
    <s v="Advertising &amp; Marketing"/>
    <s v="Business Services"/>
    <s v="Unknown / Non-Applicable"/>
    <s v="Unknown"/>
    <n v="0"/>
    <n v="0"/>
    <n v="68000"/>
    <n v="114000"/>
    <n v="91000"/>
    <x v="2"/>
    <n v="39"/>
    <n v="1"/>
    <n v="0"/>
    <n v="0"/>
    <n v="1"/>
    <n v="1"/>
    <n v="0"/>
    <n v="0"/>
    <n v="0"/>
    <n v="0"/>
    <n v="0"/>
    <n v="1"/>
    <n v="1"/>
    <n v="0"/>
    <n v="0"/>
    <n v="0"/>
    <n v="0"/>
    <x v="0"/>
    <s v="intermediate"/>
    <s v="Graduates"/>
  </r>
  <r>
    <n v="374"/>
    <s v="Data Scientist"/>
    <n v="5"/>
    <s v="BPA Services"/>
    <s v="Washington | DC"/>
    <s v="Alexandria | VA"/>
    <n v="500"/>
    <s v="Unknown"/>
    <x v="0"/>
    <s v="Enterprise Software &amp; Network Solutions"/>
    <s v="Information Technology"/>
    <s v="Unknown / Non-Applicable"/>
    <s v="Unknown"/>
    <n v="0"/>
    <n v="1"/>
    <n v="150000"/>
    <n v="160000"/>
    <n v="155000"/>
    <x v="16"/>
    <s v="Unknown"/>
    <n v="0"/>
    <n v="0"/>
    <n v="1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375"/>
    <s v="Enterprise Architect, Data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101000"/>
    <n v="158000"/>
    <n v="129500"/>
    <x v="8"/>
    <n v="172"/>
    <n v="1"/>
    <n v="1"/>
    <n v="1"/>
    <n v="1"/>
    <n v="1"/>
    <n v="0"/>
    <n v="0"/>
    <n v="0"/>
    <n v="0"/>
    <n v="0"/>
    <n v="1"/>
    <n v="1"/>
    <n v="1"/>
    <n v="0"/>
    <n v="0"/>
    <n v="0"/>
    <x v="1"/>
    <s v="intermediate"/>
    <s v="Graduates"/>
  </r>
  <r>
    <n v="376"/>
    <s v="Senior Manager, Epidemiologic Data Scientist"/>
    <n v="4"/>
    <s v="Pfizer"/>
    <s v="New | NY"/>
    <s v="New York | NY"/>
    <s v="10000+"/>
    <n v="1849"/>
    <x v="3"/>
    <s v="Biotech &amp; Pharmaceuticals"/>
    <s v="Biotech &amp; Pharmaceuticals"/>
    <s v="10 billion "/>
    <s v="Unknown"/>
    <n v="0"/>
    <n v="0"/>
    <n v="125000"/>
    <n v="210000"/>
    <n v="167500"/>
    <x v="4"/>
    <n v="174"/>
    <n v="0"/>
    <n v="0"/>
    <n v="1"/>
    <n v="1"/>
    <n v="0"/>
    <n v="0"/>
    <n v="0"/>
    <n v="0"/>
    <n v="0"/>
    <n v="0"/>
    <n v="0"/>
    <n v="0"/>
    <n v="0"/>
    <n v="0"/>
    <n v="0"/>
    <n v="0"/>
    <x v="0"/>
    <s v="Senior "/>
    <s v="Masters"/>
  </r>
  <r>
    <n v="377"/>
    <s v="Corporate Risk Data Analyst (sql_ Based) - Milwaukee or"/>
    <n v="3.8"/>
    <s v="Associated Banc-Corp"/>
    <s v="Green | WI"/>
    <s v="Green Bay | WI"/>
    <s v="1001 - 5000"/>
    <n v="1870"/>
    <x v="3"/>
    <s v="Banks &amp; Credit Unions"/>
    <s v="Finance"/>
    <s v="2 billion "/>
    <s v="Wells Fargo, BMO Harris Bank, U.S. Bank"/>
    <n v="0"/>
    <n v="0"/>
    <n v="43000"/>
    <n v="77000"/>
    <n v="60000"/>
    <x v="24"/>
    <n v="153"/>
    <n v="0"/>
    <n v="0"/>
    <n v="1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378"/>
    <s v="Lead Data Scientist"/>
    <n v="3.9"/>
    <s v="Zest AI"/>
    <s v="Burbank | CA"/>
    <s v="Burbank | CA"/>
    <s v="51 - 200"/>
    <n v="2009"/>
    <x v="0"/>
    <s v="Financial Analytics &amp; Research"/>
    <s v="Finance"/>
    <s v="100 million "/>
    <s v="Unknown"/>
    <n v="0"/>
    <n v="0"/>
    <n v="139000"/>
    <n v="221000"/>
    <n v="180000"/>
    <x v="6"/>
    <n v="14"/>
    <n v="1"/>
    <n v="0"/>
    <n v="0"/>
    <n v="1"/>
    <n v="1"/>
    <n v="0"/>
    <n v="0"/>
    <n v="0"/>
    <n v="0"/>
    <n v="0"/>
    <n v="0"/>
    <n v="0"/>
    <n v="0"/>
    <n v="0"/>
    <n v="0"/>
    <n v="0"/>
    <x v="0"/>
    <s v="Senior "/>
    <s v="Masters"/>
  </r>
  <r>
    <n v="379"/>
    <s v="Marketing Data Analyst, May 2020 Undergrad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44000"/>
    <n v="86000"/>
    <n v="65000"/>
    <x v="4"/>
    <n v="21"/>
    <n v="0"/>
    <n v="0"/>
    <n v="0"/>
    <n v="1"/>
    <n v="1"/>
    <n v="1"/>
    <n v="0"/>
    <n v="0"/>
    <n v="0"/>
    <n v="0"/>
    <n v="0"/>
    <n v="0"/>
    <n v="0"/>
    <n v="0"/>
    <n v="0"/>
    <n v="0"/>
    <x v="2"/>
    <s v="intermediate"/>
    <s v="Graduates"/>
  </r>
  <r>
    <n v="380"/>
    <s v="Senior Data Engineer"/>
    <n v="4.3"/>
    <s v="Genesys"/>
    <s v="Durham | NC"/>
    <s v="Daly City | CA"/>
    <s v="5001 - 10000"/>
    <n v="1990"/>
    <x v="0"/>
    <s v="Computer Hardware &amp; Software"/>
    <s v="Information Technology"/>
    <s v="2 billion "/>
    <s v="Avaya, Five9, Salesforce"/>
    <n v="0"/>
    <n v="0"/>
    <n v="78000"/>
    <n v="147000"/>
    <n v="112500"/>
    <x v="25"/>
    <n v="33"/>
    <n v="1"/>
    <n v="1"/>
    <n v="1"/>
    <n v="0"/>
    <n v="0"/>
    <n v="0"/>
    <n v="0"/>
    <n v="0"/>
    <n v="0"/>
    <n v="0"/>
    <n v="1"/>
    <n v="0"/>
    <n v="0"/>
    <n v="1"/>
    <n v="0"/>
    <n v="0"/>
    <x v="3"/>
    <s v="Senior "/>
    <s v="Graduates"/>
  </r>
  <r>
    <n v="381"/>
    <s v="Senior Data Analyst"/>
    <n v="1.9"/>
    <s v="Moda Operandi"/>
    <s v="New | NY"/>
    <s v="New York | NY"/>
    <s v="201 - 500"/>
    <n v="2010"/>
    <x v="0"/>
    <s v="Department, Clothing, &amp; Shoe Stores"/>
    <s v="Retail"/>
    <s v="500 million"/>
    <s v="YOOX NET-A-PORTER GROUP, Farfetch, MATCHESFASHION"/>
    <n v="0"/>
    <n v="0"/>
    <n v="65000"/>
    <n v="110000"/>
    <n v="87500"/>
    <x v="4"/>
    <n v="13"/>
    <n v="1"/>
    <n v="0"/>
    <n v="0"/>
    <n v="1"/>
    <n v="1"/>
    <n v="0"/>
    <n v="0"/>
    <n v="0"/>
    <n v="0"/>
    <n v="0"/>
    <n v="0"/>
    <n v="0"/>
    <n v="0"/>
    <n v="0"/>
    <n v="0"/>
    <n v="1"/>
    <x v="2"/>
    <s v="Senior "/>
    <s v="Graduates"/>
  </r>
  <r>
    <n v="382"/>
    <s v="Data Modeler - Data Solutions Engineer"/>
    <n v="3.3"/>
    <s v="Liberty Mutual Insurance"/>
    <s v="Indianapolis | IN"/>
    <s v="Boston | MA"/>
    <s v="10000+"/>
    <n v="1912"/>
    <x v="0"/>
    <s v="Insurance Carriers"/>
    <s v="Insurance"/>
    <s v="10 billion "/>
    <s v="Travelers, Allstate, State Farm"/>
    <n v="0"/>
    <n v="0"/>
    <n v="37000"/>
    <n v="66000"/>
    <n v="51500"/>
    <x v="22"/>
    <n v="111"/>
    <n v="1"/>
    <n v="0"/>
    <n v="0"/>
    <n v="1"/>
    <n v="1"/>
    <n v="0"/>
    <n v="0"/>
    <n v="0"/>
    <n v="0"/>
    <n v="0"/>
    <n v="0"/>
    <n v="0"/>
    <n v="1"/>
    <n v="0"/>
    <n v="0"/>
    <n v="0"/>
    <x v="5"/>
    <s v="intermediate"/>
    <s v="Masters"/>
  </r>
  <r>
    <n v="383"/>
    <s v="Associate Environmental Scientist - Wildlife Biologist"/>
    <n v="4.7"/>
    <s v="QK"/>
    <s v="Clovis | CA"/>
    <s v="Visalia | CA"/>
    <s v="51 - 200"/>
    <n v="1972"/>
    <x v="0"/>
    <s v="Architectural &amp; Engineering Services"/>
    <s v="Business Services"/>
    <s v="25 million"/>
    <s v="Unknown"/>
    <n v="0"/>
    <n v="0"/>
    <n v="38000"/>
    <n v="64000"/>
    <n v="51000"/>
    <x v="6"/>
    <n v="51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384"/>
    <s v="Associate, Data Science, Internal Audit"/>
    <n v="3.1"/>
    <s v="Santander"/>
    <s v="Boston | MA"/>
    <s v="Madrid | Spain"/>
    <s v="10000+"/>
    <n v="1856"/>
    <x v="0"/>
    <s v="Banks &amp; Credit Unions"/>
    <s v="Finance"/>
    <s v="10 billion "/>
    <s v="Unknown"/>
    <n v="0"/>
    <n v="0"/>
    <n v="43000"/>
    <n v="82000"/>
    <n v="62500"/>
    <x v="8"/>
    <n v="167"/>
    <n v="1"/>
    <n v="0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385"/>
    <s v="Sr Data Engineer (Sr BI Developer)"/>
    <n v="3.4"/>
    <s v="Tivity Health"/>
    <s v="Chandler | AZ"/>
    <s v="Franklin | TN"/>
    <s v="501 - 1000"/>
    <n v="1981"/>
    <x v="3"/>
    <s v="Health Care Services &amp; Hospitals"/>
    <s v="Health Care"/>
    <s v="Unknown / Non-Applicable"/>
    <s v="Unknown"/>
    <n v="0"/>
    <n v="0"/>
    <n v="90000"/>
    <n v="110000"/>
    <n v="100000"/>
    <x v="26"/>
    <n v="42"/>
    <n v="0"/>
    <n v="0"/>
    <n v="0"/>
    <n v="0"/>
    <n v="1"/>
    <n v="0"/>
    <n v="0"/>
    <n v="0"/>
    <n v="0"/>
    <n v="0"/>
    <n v="1"/>
    <n v="0"/>
    <n v="0"/>
    <n v="0"/>
    <n v="0"/>
    <n v="0"/>
    <x v="3"/>
    <s v="Senior "/>
    <s v="Graduates"/>
  </r>
  <r>
    <n v="386"/>
    <s v="Data Engineer"/>
    <n v="4.4000000000000004"/>
    <s v="BRMi"/>
    <s v="Chantilly | VA"/>
    <s v="Washington | DC"/>
    <s v="51 - 200"/>
    <n v="2004"/>
    <x v="0"/>
    <s v="IT Services"/>
    <s v="Information Technology"/>
    <s v="Unknown / Non-Applicable"/>
    <s v="Unknown"/>
    <n v="0"/>
    <n v="0"/>
    <n v="61000"/>
    <n v="109000"/>
    <n v="85000"/>
    <x v="7"/>
    <n v="19"/>
    <n v="1"/>
    <n v="1"/>
    <n v="1"/>
    <n v="0"/>
    <n v="0"/>
    <n v="0"/>
    <n v="0"/>
    <n v="0"/>
    <n v="0"/>
    <n v="0"/>
    <n v="1"/>
    <n v="0"/>
    <n v="0"/>
    <n v="0"/>
    <n v="0"/>
    <n v="0"/>
    <x v="3"/>
    <s v="intermediate"/>
    <s v="Graduates"/>
  </r>
  <r>
    <n v="387"/>
    <s v="Senior LiDAR Data Scientist"/>
    <n v="3.9"/>
    <s v="Luminar Technologies"/>
    <s v="Orlando | FL"/>
    <s v="Orlando | FL"/>
    <s v="201 - 500"/>
    <n v="2012"/>
    <x v="0"/>
    <s v="Computer Hardware &amp; Software"/>
    <s v="Information Technology"/>
    <s v="Unknown / Non-Applicable"/>
    <s v="Unknown"/>
    <n v="0"/>
    <n v="0"/>
    <n v="93000"/>
    <n v="151000"/>
    <n v="122000"/>
    <x v="2"/>
    <n v="11"/>
    <n v="1"/>
    <n v="0"/>
    <n v="1"/>
    <n v="0"/>
    <n v="0"/>
    <n v="0"/>
    <n v="0"/>
    <n v="0"/>
    <n v="0"/>
    <n v="0"/>
    <n v="0"/>
    <n v="0"/>
    <n v="0"/>
    <n v="0"/>
    <n v="0"/>
    <n v="0"/>
    <x v="0"/>
    <s v="Senior "/>
    <s v="Masters"/>
  </r>
  <r>
    <n v="388"/>
    <s v="Salesforce Analytics Consultant"/>
    <n v="3.9"/>
    <s v="Emtec, Inc."/>
    <s v="Chicago | IL"/>
    <s v="Jacksonville | FL"/>
    <s v="501 - 1000"/>
    <n v="1995"/>
    <x v="0"/>
    <s v="Enterprise Software &amp; Network Solutions"/>
    <s v="Information Technology"/>
    <s v="500 million"/>
    <s v="Unknown"/>
    <n v="0"/>
    <n v="0"/>
    <n v="52000"/>
    <n v="81000"/>
    <n v="66500"/>
    <x v="11"/>
    <n v="28"/>
    <n v="1"/>
    <n v="0"/>
    <n v="0"/>
    <n v="0"/>
    <n v="1"/>
    <n v="1"/>
    <n v="0"/>
    <n v="0"/>
    <n v="0"/>
    <n v="0"/>
    <n v="0"/>
    <n v="1"/>
    <n v="1"/>
    <n v="0"/>
    <n v="0"/>
    <n v="0"/>
    <x v="4"/>
    <s v="intermediate"/>
    <s v="Masters"/>
  </r>
  <r>
    <n v="389"/>
    <s v="Technology-Minded, Data Professional Opportunities"/>
    <n v="4.7"/>
    <s v="Veterans United Home Loans"/>
    <s v="Columbia | MO"/>
    <s v="Columbia | MO"/>
    <s v="1001 - 5000"/>
    <n v="2002"/>
    <x v="0"/>
    <s v="Lending"/>
    <s v="Finance"/>
    <s v="Unknown / Non-Applicable"/>
    <s v="Unknown"/>
    <n v="0"/>
    <n v="0"/>
    <n v="40000"/>
    <n v="101000"/>
    <n v="70500"/>
    <x v="19"/>
    <n v="21"/>
    <n v="0"/>
    <n v="1"/>
    <n v="0"/>
    <n v="1"/>
    <n v="1"/>
    <n v="0"/>
    <n v="0"/>
    <n v="0"/>
    <n v="0"/>
    <n v="0"/>
    <n v="1"/>
    <n v="1"/>
    <n v="0"/>
    <n v="0"/>
    <n v="1"/>
    <n v="0"/>
    <x v="1"/>
    <s v="intermediate"/>
    <s v="Graduates"/>
  </r>
  <r>
    <n v="390"/>
    <s v="Senior Data Engineer"/>
    <n v="4.7"/>
    <s v="Praetorian"/>
    <s v="Austin | TX"/>
    <s v="Austin | TX"/>
    <s v="51 - 200"/>
    <n v="2010"/>
    <x v="0"/>
    <s v="Security Services"/>
    <s v="Business Services"/>
    <s v="25 million"/>
    <s v="Unknown"/>
    <n v="0"/>
    <n v="0"/>
    <n v="97000"/>
    <n v="180000"/>
    <n v="138500"/>
    <x v="5"/>
    <n v="13"/>
    <n v="1"/>
    <n v="1"/>
    <n v="0"/>
    <n v="0"/>
    <n v="1"/>
    <n v="0"/>
    <n v="0"/>
    <n v="0"/>
    <n v="0"/>
    <n v="1"/>
    <n v="0"/>
    <n v="0"/>
    <n v="0"/>
    <n v="0"/>
    <n v="0"/>
    <n v="0"/>
    <x v="3"/>
    <s v="Senior "/>
    <s v="Graduates"/>
  </r>
  <r>
    <n v="391"/>
    <s v="Managing Data Scientist/ML Engineer"/>
    <n v="3.4"/>
    <s v="PA Consulting"/>
    <s v="Boston | MA"/>
    <s v="London | United Kingdom"/>
    <s v="1001 - 5000"/>
    <n v="1943"/>
    <x v="0"/>
    <s v="Consulting"/>
    <s v="Business Services"/>
    <s v="500 million"/>
    <s v="McKinsey &amp; Company, Accenture, Deloitte"/>
    <n v="0"/>
    <n v="0"/>
    <n v="81000"/>
    <n v="134000"/>
    <n v="107500"/>
    <x v="8"/>
    <n v="80"/>
    <n v="0"/>
    <n v="1"/>
    <n v="0"/>
    <n v="1"/>
    <n v="1"/>
    <n v="0"/>
    <n v="0"/>
    <n v="0"/>
    <n v="0"/>
    <n v="0"/>
    <n v="1"/>
    <n v="1"/>
    <n v="0"/>
    <n v="0"/>
    <n v="1"/>
    <n v="0"/>
    <x v="0"/>
    <s v="intermediate"/>
    <s v="Graduates"/>
  </r>
  <r>
    <n v="392"/>
    <s v="Scientist, Pharmacometrics"/>
    <n v="3.8"/>
    <s v="Agios Pharmaceuticals"/>
    <s v="Cambridge | MA"/>
    <s v="Cambridge | MA"/>
    <s v="501 - 1000"/>
    <n v="2008"/>
    <x v="3"/>
    <s v="Biotech &amp; Pharmaceuticals"/>
    <s v="Biotech &amp; Pharmaceuticals"/>
    <s v="100 million "/>
    <s v="Unknown"/>
    <n v="0"/>
    <n v="0"/>
    <n v="84000"/>
    <n v="157000"/>
    <n v="120500"/>
    <x v="8"/>
    <n v="15"/>
    <n v="0"/>
    <n v="0"/>
    <n v="0"/>
    <n v="0"/>
    <n v="0"/>
    <n v="1"/>
    <n v="0"/>
    <n v="0"/>
    <n v="0"/>
    <n v="0"/>
    <n v="0"/>
    <n v="0"/>
    <n v="0"/>
    <n v="0"/>
    <n v="0"/>
    <n v="0"/>
    <x v="1"/>
    <s v="intermediate"/>
    <s v="Masters"/>
  </r>
  <r>
    <n v="393"/>
    <s v="Staff Scientist- Upstream PD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94"/>
    <s v="Scientist Manufacturing Pharma - Kentucky BioProcessing"/>
    <n v="3.1"/>
    <s v="Reynolds American"/>
    <s v="Owensboro | KY"/>
    <s v="Winston-Salem | NC"/>
    <s v="5001 - 10000"/>
    <n v="1875"/>
    <x v="0"/>
    <s v="Consumer Products Manufacturing"/>
    <s v="Manufacturing"/>
    <s v="10 billion "/>
    <s v="Unknown"/>
    <n v="0"/>
    <n v="0"/>
    <n v="68000"/>
    <n v="139000"/>
    <n v="103500"/>
    <x v="12"/>
    <n v="14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395"/>
    <s v="Sr. Data Engineer"/>
    <n v="3.4"/>
    <s v="Echo Global Logistics"/>
    <s v="Chicago | IL"/>
    <s v="Chicago | IL"/>
    <s v="1001 - 5000"/>
    <n v="2005"/>
    <x v="3"/>
    <s v="Transportation Management"/>
    <s v="Transportation &amp; Logistics"/>
    <s v="5 billion "/>
    <s v="C.H. Robinson, Total Quality Logistics, Coyote Logistics"/>
    <n v="0"/>
    <n v="0"/>
    <n v="75000"/>
    <n v="140000"/>
    <n v="107500"/>
    <x v="11"/>
    <n v="18"/>
    <n v="0"/>
    <n v="0"/>
    <n v="0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396"/>
    <s v="Lead Big Data Engineer"/>
    <n v="4"/>
    <s v="Glassdoor"/>
    <s v="San | CA"/>
    <s v="Mill Valley | CA"/>
    <s v="1001 - 5000"/>
    <n v="2007"/>
    <x v="0"/>
    <s v="Internet"/>
    <s v="Information Technology"/>
    <s v="Unknown / Non-Applicable"/>
    <s v="Indeed, LinkedIn"/>
    <n v="0"/>
    <n v="0"/>
    <n v="121000"/>
    <n v="203000"/>
    <n v="162000"/>
    <x v="6"/>
    <n v="16"/>
    <n v="1"/>
    <n v="1"/>
    <n v="1"/>
    <n v="1"/>
    <n v="0"/>
    <n v="0"/>
    <n v="0"/>
    <n v="0"/>
    <n v="0"/>
    <n v="0"/>
    <n v="1"/>
    <n v="0"/>
    <n v="0"/>
    <n v="0"/>
    <n v="0"/>
    <n v="0"/>
    <x v="3"/>
    <s v="Senior "/>
    <s v="Graduates"/>
  </r>
  <r>
    <n v="397"/>
    <s v="Product Engineer – Spatial Data Science and Statistical Analysis"/>
    <n v="3.5"/>
    <s v="Esri"/>
    <s v="Redlands | CA"/>
    <s v="Redlands | CA"/>
    <s v="1001 - 5000"/>
    <n v="1969"/>
    <x v="0"/>
    <s v="Computer Hardware &amp; Software"/>
    <s v="Information Technology"/>
    <s v="2 billion "/>
    <s v="Pitney Bowes"/>
    <n v="0"/>
    <n v="0"/>
    <n v="52000"/>
    <n v="85000"/>
    <n v="68500"/>
    <x v="6"/>
    <n v="54"/>
    <n v="1"/>
    <n v="1"/>
    <n v="0"/>
    <n v="1"/>
    <n v="0"/>
    <n v="0"/>
    <n v="0"/>
    <n v="1"/>
    <n v="1"/>
    <n v="1"/>
    <n v="0"/>
    <n v="0"/>
    <n v="0"/>
    <n v="0"/>
    <n v="0"/>
    <n v="0"/>
    <x v="0"/>
    <s v="intermediate"/>
    <s v="Masters"/>
  </r>
  <r>
    <n v="398"/>
    <s v="Sr Software Engineer (Data Scientist)"/>
    <n v="3.4"/>
    <s v="Assurant"/>
    <s v="Westlake | OH"/>
    <s v="New York | NY"/>
    <s v="10000+"/>
    <n v="1978"/>
    <x v="3"/>
    <s v="Insurance Carriers"/>
    <s v="Insurance"/>
    <s v="10 billion"/>
    <s v="Asurion, SquareTrade, National General Insurance"/>
    <n v="0"/>
    <n v="0"/>
    <n v="81000"/>
    <n v="140000"/>
    <n v="110500"/>
    <x v="17"/>
    <n v="45"/>
    <n v="0"/>
    <n v="0"/>
    <n v="0"/>
    <n v="1"/>
    <n v="1"/>
    <n v="0"/>
    <n v="0"/>
    <n v="1"/>
    <n v="0"/>
    <n v="1"/>
    <n v="0"/>
    <n v="0"/>
    <n v="0"/>
    <n v="0"/>
    <n v="0"/>
    <n v="0"/>
    <x v="0"/>
    <s v="Senior "/>
    <s v="Graduates"/>
  </r>
  <r>
    <n v="399"/>
    <s v="College Hire - Data Scientist - Open to December 2019 Graduates"/>
    <n v="3.7"/>
    <s v="Caterpillar"/>
    <s v="Peoria | IL"/>
    <s v="Deerfield | IL"/>
    <s v="10000+"/>
    <n v="1925"/>
    <x v="3"/>
    <s v="Industrial Manufacturing"/>
    <s v="Manufacturing"/>
    <s v="10 billion "/>
    <s v="John Deere, Komatsu, CNH Industrial"/>
    <n v="0"/>
    <n v="0"/>
    <n v="63000"/>
    <n v="99000"/>
    <n v="81000"/>
    <x v="11"/>
    <n v="98"/>
    <n v="0"/>
    <n v="0"/>
    <n v="0"/>
    <n v="0"/>
    <n v="0"/>
    <n v="0"/>
    <n v="0"/>
    <n v="0"/>
    <n v="0"/>
    <n v="0"/>
    <n v="0"/>
    <n v="1"/>
    <n v="0"/>
    <n v="0"/>
    <n v="0"/>
    <n v="0"/>
    <x v="0"/>
    <s v="intermediate"/>
    <s v="Graduates"/>
  </r>
  <r>
    <n v="400"/>
    <s v="Senior Data Scientist"/>
    <n v="4.3"/>
    <s v="Equity Residential"/>
    <s v="Chicago | IL"/>
    <s v="Chicago | IL"/>
    <s v="1001 - 5000"/>
    <n v="1993"/>
    <x v="3"/>
    <s v="Real Estate"/>
    <s v="Real Estate"/>
    <s v="5 billion "/>
    <s v="UDR, AvalonBay Communities, Essex Property Trust"/>
    <n v="0"/>
    <n v="0"/>
    <n v="110000"/>
    <n v="150000"/>
    <n v="130000"/>
    <x v="11"/>
    <n v="30"/>
    <n v="1"/>
    <n v="1"/>
    <n v="0"/>
    <n v="1"/>
    <n v="1"/>
    <n v="0"/>
    <n v="0"/>
    <n v="0"/>
    <n v="1"/>
    <n v="0"/>
    <n v="1"/>
    <n v="1"/>
    <n v="1"/>
    <n v="0"/>
    <n v="0"/>
    <n v="0"/>
    <x v="0"/>
    <s v="Senior "/>
    <s v="Masters"/>
  </r>
  <r>
    <n v="401"/>
    <s v="Sr. Data Engineer (ETL Developer)"/>
    <n v="3.7"/>
    <s v="F&amp;G"/>
    <s v="Des | IA"/>
    <s v="Des Moines | IA"/>
    <s v="201 - 500"/>
    <s v="Unknown"/>
    <x v="5"/>
    <s v="Insurance Carriers"/>
    <s v="Insurance"/>
    <s v="500 million"/>
    <s v="Unknown"/>
    <n v="0"/>
    <n v="0"/>
    <n v="83000"/>
    <n v="148000"/>
    <n v="115500"/>
    <x v="34"/>
    <s v="Unknown"/>
    <n v="1"/>
    <n v="0"/>
    <n v="0"/>
    <n v="1"/>
    <n v="1"/>
    <n v="0"/>
    <n v="0"/>
    <n v="0"/>
    <n v="0"/>
    <n v="0"/>
    <n v="0"/>
    <n v="1"/>
    <n v="0"/>
    <n v="0"/>
    <n v="0"/>
    <n v="0"/>
    <x v="3"/>
    <s v="Senior "/>
    <s v="Graduates"/>
  </r>
  <r>
    <n v="402"/>
    <s v="Senior Data Scientist Artificial Intelligence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60000"/>
    <n v="101000"/>
    <n v="805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Senior "/>
    <s v="Masters"/>
  </r>
  <r>
    <n v="403"/>
    <s v="Analytics - Business Assurance Data Analyst"/>
    <n v="4.5999999999999996"/>
    <s v="GreatAmerica Financial Services"/>
    <s v="Cedar | IA"/>
    <s v="Cedar Rapids | IA"/>
    <s v="501 - 1000"/>
    <n v="1992"/>
    <x v="0"/>
    <s v="Lending"/>
    <s v="Finance"/>
    <s v="500 million"/>
    <s v="Unknown"/>
    <n v="0"/>
    <n v="0"/>
    <n v="31000"/>
    <n v="55000"/>
    <n v="43000"/>
    <x v="34"/>
    <n v="31"/>
    <n v="0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Graduates"/>
  </r>
  <r>
    <n v="404"/>
    <s v="Associate Director/Director, Safety Scientist"/>
    <n v="4.4000000000000004"/>
    <s v="Acceleron Pharma"/>
    <s v="Cambridge | MA"/>
    <s v="Cambridge | MA"/>
    <s v="201 - 500"/>
    <n v="2003"/>
    <x v="3"/>
    <s v="Biotech &amp; Pharmaceuticals"/>
    <s v="Biotech &amp; Pharmaceuticals"/>
    <s v="Unknown / Non-Applicable"/>
    <s v="Unknown"/>
    <n v="0"/>
    <n v="0"/>
    <n v="102000"/>
    <n v="178000"/>
    <n v="140000"/>
    <x v="8"/>
    <n v="20"/>
    <n v="0"/>
    <n v="0"/>
    <n v="0"/>
    <n v="1"/>
    <n v="0"/>
    <n v="0"/>
    <n v="0"/>
    <n v="0"/>
    <n v="0"/>
    <n v="0"/>
    <n v="0"/>
    <n v="0"/>
    <n v="0"/>
    <n v="0"/>
    <n v="0"/>
    <n v="0"/>
    <x v="8"/>
    <s v="intermediate"/>
    <s v="Post Graduates"/>
  </r>
  <r>
    <n v="405"/>
    <s v="Senior Scientist, Cell Pharmacology/Assay Development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10000"/>
    <n v="130000"/>
    <n v="120000"/>
    <x v="8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406"/>
    <s v="Data Analyst Senior"/>
    <n v="3"/>
    <s v="AmeriHealth Caritas"/>
    <s v="Philadelphia | PA"/>
    <s v="Philadelphia | PA"/>
    <s v="5001 - 10000"/>
    <n v="1983"/>
    <x v="0"/>
    <s v="Insurance Carriers"/>
    <s v="Insurance"/>
    <s v="10 billion"/>
    <s v="UnitedHealth Group, Molina Healthcare, Centene"/>
    <n v="0"/>
    <n v="0"/>
    <n v="48000"/>
    <n v="85000"/>
    <n v="66500"/>
    <x v="20"/>
    <n v="40"/>
    <n v="0"/>
    <n v="0"/>
    <n v="0"/>
    <n v="1"/>
    <n v="1"/>
    <n v="1"/>
    <n v="0"/>
    <n v="0"/>
    <n v="0"/>
    <n v="0"/>
    <n v="0"/>
    <n v="1"/>
    <n v="0"/>
    <n v="0"/>
    <n v="0"/>
    <n v="0"/>
    <x v="2"/>
    <s v="Senior "/>
    <s v="Masters"/>
  </r>
  <r>
    <n v="407"/>
    <s v="Lead Data Engineer (Python)"/>
    <n v="4.7"/>
    <s v="Strategic Employment Partners"/>
    <s v="San | CA"/>
    <s v="Los Angeles | CA"/>
    <s v="51 - 200"/>
    <n v="2006"/>
    <x v="0"/>
    <s v="Staffing &amp; Outsourcing"/>
    <s v="Business Services"/>
    <s v="5 million"/>
    <s v="Unknown"/>
    <n v="0"/>
    <n v="0"/>
    <n v="66000"/>
    <n v="123000"/>
    <n v="94500"/>
    <x v="6"/>
    <n v="17"/>
    <n v="1"/>
    <n v="0"/>
    <n v="1"/>
    <n v="0"/>
    <n v="0"/>
    <n v="0"/>
    <n v="0"/>
    <n v="0"/>
    <n v="0"/>
    <n v="0"/>
    <n v="0"/>
    <n v="0"/>
    <n v="0"/>
    <n v="0"/>
    <n v="0"/>
    <n v="0"/>
    <x v="3"/>
    <s v="Senior "/>
    <s v="Graduates"/>
  </r>
  <r>
    <n v="408"/>
    <s v="Senior Data Scientist 4 Artificial Intelligence"/>
    <n v="3.8"/>
    <s v="PNNL"/>
    <s v="Seattle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92000"/>
    <n v="146000"/>
    <n v="1190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Senior "/>
    <s v="Masters"/>
  </r>
  <r>
    <n v="409"/>
    <s v="Medical Lab Scientist - MLT"/>
    <n v="3.2"/>
    <s v="Catholic Health Initiatives"/>
    <s v="Omaha | NE"/>
    <s v="Englewood | CO"/>
    <s v="10000+"/>
    <n v="1996"/>
    <x v="6"/>
    <s v="Health Care Services &amp; Hospitals"/>
    <s v="Health Care"/>
    <s v="10 billion "/>
    <s v="Dignity Health, Trinity Health"/>
    <n v="1"/>
    <n v="0"/>
    <n v="43000"/>
    <n v="60000"/>
    <n v="51500"/>
    <x v="27"/>
    <n v="2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410"/>
    <s v="Senior Operations Data Analyst, Call Center Operations"/>
    <n v="2.7"/>
    <s v="FLEETCOR"/>
    <s v="Nashville | TN"/>
    <s v="Peachtree Corners | GA"/>
    <s v="5001 - 10000"/>
    <n v="2000"/>
    <x v="3"/>
    <s v="Financial Transaction Processing"/>
    <s v="Finance"/>
    <s v="5 billion "/>
    <s v="Unknown"/>
    <n v="1"/>
    <n v="0"/>
    <n v="20000"/>
    <n v="35000"/>
    <n v="27500"/>
    <x v="30"/>
    <n v="23"/>
    <n v="0"/>
    <n v="0"/>
    <n v="0"/>
    <n v="1"/>
    <n v="0"/>
    <n v="0"/>
    <n v="0"/>
    <n v="0"/>
    <n v="0"/>
    <n v="0"/>
    <n v="0"/>
    <n v="1"/>
    <n v="0"/>
    <n v="0"/>
    <n v="0"/>
    <n v="0"/>
    <x v="2"/>
    <s v="Senior "/>
    <s v="Graduates"/>
  </r>
  <r>
    <n v="411"/>
    <s v="Director II, Data Science - GRS Predictive Analytics"/>
    <n v="3.3"/>
    <s v="Liberty Mutual Insurance"/>
    <s v="Chicago | IL"/>
    <s v="Boston | MA"/>
    <s v="10000+"/>
    <n v="1912"/>
    <x v="0"/>
    <s v="Insurance Carriers"/>
    <s v="Insurance"/>
    <s v="10 billion "/>
    <s v="Travelers, Allstate, State Farm"/>
    <n v="0"/>
    <n v="0"/>
    <n v="150000"/>
    <n v="239000"/>
    <n v="194500"/>
    <x v="11"/>
    <n v="111"/>
    <n v="1"/>
    <n v="0"/>
    <n v="0"/>
    <n v="0"/>
    <n v="0"/>
    <n v="1"/>
    <n v="0"/>
    <n v="0"/>
    <n v="0"/>
    <n v="0"/>
    <n v="0"/>
    <n v="0"/>
    <n v="0"/>
    <n v="0"/>
    <n v="0"/>
    <n v="0"/>
    <x v="0"/>
    <s v="intermediate"/>
    <s v="Post Graduates"/>
  </r>
  <r>
    <n v="412"/>
    <s v="RESEARCH COMPUTER SCIENTIST - RESEARCH ENGINEER - SR. COMPUTER SCIENTIST - SOFTWARE DEVELOPMENT"/>
    <n v="3.9"/>
    <s v="Southwest Research Institute"/>
    <s v="San | TX"/>
    <s v="San Antonio | TX"/>
    <s v="1001 - 5000"/>
    <n v="1947"/>
    <x v="6"/>
    <s v="Research &amp; Development"/>
    <s v="Business Services"/>
    <s v="750 million"/>
    <s v="Los Alamos National Laboratory, Battelle, SRI International"/>
    <n v="0"/>
    <n v="0"/>
    <n v="52000"/>
    <n v="91000"/>
    <n v="71500"/>
    <x v="5"/>
    <n v="76"/>
    <n v="1"/>
    <n v="0"/>
    <n v="1"/>
    <n v="1"/>
    <n v="1"/>
    <n v="0"/>
    <n v="0"/>
    <n v="0"/>
    <n v="0"/>
    <n v="0"/>
    <n v="0"/>
    <n v="0"/>
    <n v="0"/>
    <n v="0"/>
    <n v="0"/>
    <n v="0"/>
    <x v="1"/>
    <s v="Senior "/>
    <s v="Graduates"/>
  </r>
  <r>
    <n v="413"/>
    <s v="Geospatial Software Developer and Data Scientist"/>
    <n v="3.7"/>
    <s v="Applied Research Laboratories"/>
    <s v="Austin | TX"/>
    <s v="Austin | TX"/>
    <s v="501 - 1000"/>
    <s v="Unknown"/>
    <x v="7"/>
    <s v="Colleges &amp; Universities"/>
    <s v="Education"/>
    <s v="Unknown / Non-Applicable"/>
    <s v="Unknown"/>
    <n v="0"/>
    <n v="0"/>
    <n v="82000"/>
    <n v="129000"/>
    <n v="105500"/>
    <x v="5"/>
    <s v="Unknown"/>
    <n v="1"/>
    <n v="0"/>
    <n v="1"/>
    <n v="0"/>
    <n v="0"/>
    <n v="0"/>
    <n v="1"/>
    <n v="1"/>
    <n v="1"/>
    <n v="1"/>
    <n v="0"/>
    <n v="0"/>
    <n v="0"/>
    <n v="0"/>
    <n v="0"/>
    <n v="0"/>
    <x v="0"/>
    <s v="intermediate"/>
    <s v="Graduates"/>
  </r>
  <r>
    <n v="414"/>
    <s v="Senior Scientist - Toxicologist - Product Integrity (Stewardship)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47000"/>
    <n v="101000"/>
    <n v="740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415"/>
    <s v="Systems Engineer II - Data Analyst"/>
    <n v="3.7"/>
    <s v="Raytheon"/>
    <s v="Huntsville | AL"/>
    <s v="Waltham | MA"/>
    <s v="10000+"/>
    <n v="1922"/>
    <x v="3"/>
    <s v="Aerospace &amp; Defense"/>
    <s v="Aerospace &amp; Defense"/>
    <s v="10 billion "/>
    <s v="Unknown"/>
    <n v="0"/>
    <n v="0"/>
    <n v="49000"/>
    <n v="76000"/>
    <n v="62500"/>
    <x v="18"/>
    <n v="101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416"/>
    <s v="Senior Research Analytical Scientist-Non-Targeted Analysis"/>
    <n v="4.3"/>
    <s v="RTI International"/>
    <s v="Durham | NC"/>
    <s v="Research Triangle Park | NC"/>
    <s v="1001 - 5000"/>
    <n v="1958"/>
    <x v="6"/>
    <s v="Research &amp; Development"/>
    <s v="Business Services"/>
    <s v="750 million"/>
    <s v="Westat, Abt Associates, Chemonics International"/>
    <n v="0"/>
    <n v="0"/>
    <n v="43000"/>
    <n v="88000"/>
    <n v="65500"/>
    <x v="25"/>
    <n v="65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417"/>
    <s v="Director Data Science"/>
    <n v="3.6"/>
    <s v="TRANZACT"/>
    <s v="Fort | NJ"/>
    <s v="Fort Lee | NJ"/>
    <s v="1001 - 5000"/>
    <n v="1989"/>
    <x v="0"/>
    <s v="Advertising &amp; Marketing"/>
    <s v="Business Services"/>
    <s v="Unknown / Non-Applicable"/>
    <s v="Unknown"/>
    <n v="0"/>
    <n v="0"/>
    <n v="124000"/>
    <n v="199000"/>
    <n v="161500"/>
    <x v="9"/>
    <n v="34"/>
    <n v="1"/>
    <n v="0"/>
    <n v="1"/>
    <n v="1"/>
    <n v="1"/>
    <n v="0"/>
    <n v="0"/>
    <n v="0"/>
    <n v="0"/>
    <n v="0"/>
    <n v="0"/>
    <n v="1"/>
    <n v="1"/>
    <n v="0"/>
    <n v="0"/>
    <n v="0"/>
    <x v="0"/>
    <s v="intermediate"/>
    <s v="Graduates"/>
  </r>
  <r>
    <n v="418"/>
    <s v="Sr Data Analyst - IT"/>
    <n v="2.1"/>
    <s v="United BioSource"/>
    <s v="Blue | PA"/>
    <s v="Blue Bell | PA"/>
    <s v="1001 - 5000"/>
    <n v="2003"/>
    <x v="1"/>
    <s v="Biotech &amp; Pharmaceuticals"/>
    <s v="Biotech &amp; Pharmaceuticals"/>
    <s v="500 million"/>
    <s v="Covance, ICON"/>
    <n v="0"/>
    <n v="0"/>
    <n v="52000"/>
    <n v="93000"/>
    <n v="72500"/>
    <x v="20"/>
    <n v="20"/>
    <n v="0"/>
    <n v="0"/>
    <n v="0"/>
    <n v="1"/>
    <n v="1"/>
    <n v="0"/>
    <n v="0"/>
    <n v="0"/>
    <n v="0"/>
    <n v="0"/>
    <n v="0"/>
    <n v="1"/>
    <n v="0"/>
    <n v="0"/>
    <n v="0"/>
    <n v="0"/>
    <x v="2"/>
    <s v="Senior "/>
    <s v="Graduates"/>
  </r>
  <r>
    <n v="419"/>
    <s v="Senior Data Engineer"/>
    <n v="3.9"/>
    <s v="Figure Eight"/>
    <s v="San | CA"/>
    <s v="San Francisco | CA"/>
    <s v="51 - 200"/>
    <n v="2008"/>
    <x v="3"/>
    <s v="Computer Hardware &amp; Software"/>
    <s v="Information Technology"/>
    <s v="25 million"/>
    <s v="Unknown"/>
    <n v="0"/>
    <n v="0"/>
    <n v="97000"/>
    <n v="181000"/>
    <n v="139000"/>
    <x v="6"/>
    <n v="15"/>
    <n v="1"/>
    <n v="0"/>
    <n v="1"/>
    <n v="1"/>
    <n v="0"/>
    <n v="0"/>
    <n v="0"/>
    <n v="0"/>
    <n v="0"/>
    <n v="0"/>
    <n v="0"/>
    <n v="0"/>
    <n v="0"/>
    <n v="0"/>
    <n v="0"/>
    <n v="0"/>
    <x v="3"/>
    <s v="Senior "/>
    <s v="Graduates"/>
  </r>
  <r>
    <n v="420"/>
    <s v="Senior Data Engineer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100000"/>
    <n v="173000"/>
    <n v="136500"/>
    <x v="6"/>
    <n v="16"/>
    <n v="0"/>
    <n v="0"/>
    <n v="0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421"/>
    <s v="Associate Machine Learning Engineer / Data Scientist May 2020 Undergrad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53000"/>
    <n v="96000"/>
    <n v="74500"/>
    <x v="4"/>
    <n v="21"/>
    <n v="1"/>
    <n v="1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422"/>
    <s v="Senior Scientist - Biostatistician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65000"/>
    <n v="96000"/>
    <n v="80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423"/>
    <s v="Data Scientist"/>
    <n v="3.5"/>
    <s v="Sartorius"/>
    <s v="Albuquerque | NM"/>
    <s v="Gottingen | Germany"/>
    <s v="5001 - 10000"/>
    <n v="1870"/>
    <x v="3"/>
    <s v="Biotech &amp; Pharmaceuticals"/>
    <s v="Biotech &amp; Pharmaceuticals"/>
    <s v="2 billion "/>
    <s v="Unknown"/>
    <n v="0"/>
    <n v="0"/>
    <n v="56000"/>
    <n v="95000"/>
    <n v="75500"/>
    <x v="0"/>
    <n v="153"/>
    <n v="1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424"/>
    <s v="Data Scientist"/>
    <n v="4.7"/>
    <s v="1904labs"/>
    <s v="Saint | MO"/>
    <s v="Saint Louis | MO"/>
    <s v="51 - 200"/>
    <n v="2016"/>
    <x v="0"/>
    <s v="IT Services"/>
    <s v="Information Technology"/>
    <s v="Unknown / Non-Applicable"/>
    <s v="Slalom, Daugherty Business Solutions"/>
    <n v="0"/>
    <n v="0"/>
    <n v="111000"/>
    <n v="176000"/>
    <n v="143500"/>
    <x v="19"/>
    <n v="7"/>
    <n v="1"/>
    <n v="1"/>
    <n v="0"/>
    <n v="0"/>
    <n v="1"/>
    <n v="0"/>
    <n v="1"/>
    <n v="0"/>
    <n v="1"/>
    <n v="1"/>
    <n v="0"/>
    <n v="0"/>
    <n v="0"/>
    <n v="0"/>
    <n v="0"/>
    <n v="0"/>
    <x v="0"/>
    <s v="intermediate"/>
    <s v="Graduates"/>
  </r>
  <r>
    <n v="425"/>
    <s v="Data Scientist"/>
    <n v="5"/>
    <s v="Royce Geospatial"/>
    <s v="Springfield | VA"/>
    <s v="Arlington | VA"/>
    <s v="51 - 200"/>
    <n v="2014"/>
    <x v="0"/>
    <s v="Aerospace &amp; Defense"/>
    <s v="Aerospace &amp; Defense"/>
    <s v="25 million"/>
    <s v="Unknown"/>
    <n v="0"/>
    <n v="0"/>
    <n v="75000"/>
    <n v="127000"/>
    <n v="101000"/>
    <x v="7"/>
    <n v="9"/>
    <n v="1"/>
    <n v="0"/>
    <n v="0"/>
    <n v="0"/>
    <n v="1"/>
    <n v="1"/>
    <n v="0"/>
    <n v="0"/>
    <n v="0"/>
    <n v="0"/>
    <n v="0"/>
    <n v="0"/>
    <n v="0"/>
    <n v="0"/>
    <n v="0"/>
    <n v="0"/>
    <x v="0"/>
    <s v="intermediate"/>
    <s v="Graduates"/>
  </r>
  <r>
    <n v="426"/>
    <s v="Data Engineer"/>
    <n v="3.6"/>
    <s v="MassMutual"/>
    <s v="Springfield | MA"/>
    <s v="Springfield | MA"/>
    <s v="5001 - 10000"/>
    <n v="1851"/>
    <x v="0"/>
    <s v="Insurance Carriers"/>
    <s v="Insurance"/>
    <s v="10 billion "/>
    <s v="Unknown"/>
    <n v="0"/>
    <n v="0"/>
    <n v="65000"/>
    <n v="119000"/>
    <n v="92000"/>
    <x v="8"/>
    <n v="172"/>
    <n v="1"/>
    <n v="1"/>
    <n v="0"/>
    <n v="1"/>
    <n v="0"/>
    <n v="0"/>
    <n v="0"/>
    <n v="0"/>
    <n v="0"/>
    <n v="0"/>
    <n v="0"/>
    <n v="0"/>
    <n v="0"/>
    <n v="0"/>
    <n v="0"/>
    <n v="0"/>
    <x v="3"/>
    <s v="intermediate"/>
    <s v="Graduates"/>
  </r>
  <r>
    <n v="427"/>
    <s v="Computational Chemist/Data Scientist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56000"/>
    <n v="97000"/>
    <n v="76500"/>
    <x v="3"/>
    <n v="58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Post Graduates"/>
  </r>
  <r>
    <n v="428"/>
    <s v="Principal Data Scientist (Computational Chemistry)"/>
    <n v="4.7"/>
    <s v="Recursion Pharmaceuticals"/>
    <s v="Salt | UT"/>
    <s v="Salt Lake City | UT"/>
    <s v="51 - 200"/>
    <n v="2013"/>
    <x v="0"/>
    <s v="Biotech &amp; Pharmaceuticals"/>
    <s v="Biotech &amp; Pharmaceuticals"/>
    <s v="5 million"/>
    <s v="Unknown"/>
    <n v="0"/>
    <n v="0"/>
    <n v="108000"/>
    <n v="173000"/>
    <n v="140500"/>
    <x v="29"/>
    <n v="10"/>
    <n v="1"/>
    <n v="0"/>
    <n v="1"/>
    <n v="0"/>
    <n v="0"/>
    <n v="0"/>
    <n v="1"/>
    <n v="1"/>
    <n v="1"/>
    <n v="1"/>
    <n v="0"/>
    <n v="0"/>
    <n v="0"/>
    <n v="0"/>
    <n v="0"/>
    <n v="0"/>
    <x v="0"/>
    <s v="Senior "/>
    <s v="Graduates"/>
  </r>
  <r>
    <n v="429"/>
    <s v="Data Scientist"/>
    <n v="3.6"/>
    <s v="Citi"/>
    <s v="Jersey | NJ"/>
    <s v="New York | NY"/>
    <s v="10000+"/>
    <n v="1812"/>
    <x v="3"/>
    <s v="Investment Banking &amp; Asset Management"/>
    <s v="Finance"/>
    <s v="10 billion "/>
    <s v="Unknown"/>
    <n v="0"/>
    <n v="0"/>
    <n v="94000"/>
    <n v="139000"/>
    <n v="116500"/>
    <x v="9"/>
    <n v="211"/>
    <n v="0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Graduates"/>
  </r>
  <r>
    <n v="430"/>
    <s v="Principal Machine Learning Scientist"/>
    <n v="4.7"/>
    <s v="Sage Intacct"/>
    <s v="San | CA"/>
    <s v="San Jose | CA"/>
    <s v="501 - 1000"/>
    <n v="1999"/>
    <x v="5"/>
    <s v="Computer Hardware &amp; Software"/>
    <s v="Information Technology"/>
    <s v="Unknown / Non-Applicable"/>
    <s v="Unknown"/>
    <n v="0"/>
    <n v="0"/>
    <n v="176000"/>
    <n v="289000"/>
    <n v="232500"/>
    <x v="6"/>
    <n v="24"/>
    <n v="1"/>
    <n v="0"/>
    <n v="0"/>
    <n v="0"/>
    <n v="1"/>
    <n v="0"/>
    <n v="0"/>
    <n v="0"/>
    <n v="1"/>
    <n v="0"/>
    <n v="0"/>
    <n v="0"/>
    <n v="0"/>
    <n v="0"/>
    <n v="0"/>
    <n v="0"/>
    <x v="7"/>
    <s v="Senior "/>
    <s v="Post Graduates"/>
  </r>
  <r>
    <n v="431"/>
    <s v="Data Scientist"/>
    <n v="3.5"/>
    <s v="Scale AI"/>
    <s v="San | CA"/>
    <s v="San Francisco | CA"/>
    <s v="51 - 200"/>
    <n v="2016"/>
    <x v="0"/>
    <s v="Enterprise Software &amp; Network Solutions"/>
    <s v="Information Technology"/>
    <s v="Unknown / Non-Applicable"/>
    <s v="Unknown"/>
    <n v="0"/>
    <n v="0"/>
    <n v="92000"/>
    <n v="149000"/>
    <n v="120500"/>
    <x v="6"/>
    <n v="7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Post Graduates"/>
  </r>
  <r>
    <n v="432"/>
    <s v="Product Engineer – Data Science"/>
    <n v="3.5"/>
    <s v="Esri"/>
    <s v="Arlington | VA"/>
    <s v="Redlands | CA"/>
    <s v="1001 - 5000"/>
    <n v="1969"/>
    <x v="0"/>
    <s v="Computer Hardware &amp; Software"/>
    <s v="Information Technology"/>
    <s v="2 billion "/>
    <s v="Pitney Bowes"/>
    <n v="0"/>
    <n v="0"/>
    <n v="63000"/>
    <n v="101000"/>
    <n v="82000"/>
    <x v="7"/>
    <n v="54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433"/>
    <s v="Principal Scientist, Chemistry &amp; Immun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434"/>
    <s v="Data Scientist"/>
    <n v="2.7"/>
    <s v="Change Healthcare"/>
    <s v="Emeryville | CA"/>
    <s v="Nashville | TN"/>
    <s v="10000+"/>
    <n v="2007"/>
    <x v="3"/>
    <s v="IT Services"/>
    <s v="Information Technology"/>
    <s v="Unknown / Non-Applicable"/>
    <s v="Unknown"/>
    <n v="0"/>
    <n v="0"/>
    <n v="118000"/>
    <n v="188000"/>
    <n v="153000"/>
    <x v="6"/>
    <n v="16"/>
    <n v="1"/>
    <n v="1"/>
    <n v="1"/>
    <n v="0"/>
    <n v="1"/>
    <n v="0"/>
    <n v="1"/>
    <n v="1"/>
    <n v="0"/>
    <n v="1"/>
    <n v="0"/>
    <n v="0"/>
    <n v="0"/>
    <n v="0"/>
    <n v="0"/>
    <n v="0"/>
    <x v="0"/>
    <s v="intermediate"/>
    <s v="Post Graduates"/>
  </r>
  <r>
    <n v="435"/>
    <s v="Data Scientist"/>
    <n v="3.4"/>
    <s v="MZ"/>
    <s v="Palo | CA"/>
    <s v="Palo Alto | CA"/>
    <s v="501 - 1000"/>
    <n v="2008"/>
    <x v="0"/>
    <s v="Internet"/>
    <s v="Information Technology"/>
    <s v="Unknown / Non-Applicable"/>
    <s v="Unknown"/>
    <n v="0"/>
    <n v="0"/>
    <n v="108000"/>
    <n v="146000"/>
    <n v="127000"/>
    <x v="6"/>
    <n v="15"/>
    <n v="1"/>
    <n v="1"/>
    <n v="0"/>
    <n v="0"/>
    <n v="1"/>
    <n v="0"/>
    <n v="0"/>
    <n v="0"/>
    <n v="0"/>
    <n v="0"/>
    <n v="1"/>
    <n v="0"/>
    <n v="0"/>
    <n v="0"/>
    <n v="0"/>
    <n v="0"/>
    <x v="0"/>
    <s v="intermediate"/>
    <s v="Masters"/>
  </r>
  <r>
    <n v="436"/>
    <s v="Data Scientist"/>
    <n v="4.7"/>
    <s v="HG Insights"/>
    <s v="Santa | CA"/>
    <s v="Santa Barbara | CA"/>
    <s v="51 - 200"/>
    <n v="2010"/>
    <x v="0"/>
    <s v="Computer Hardware &amp; Software"/>
    <s v="Information Technology"/>
    <s v="Unknown / Non-Applicable"/>
    <s v="Unknown"/>
    <n v="0"/>
    <n v="0"/>
    <n v="65000"/>
    <n v="106000"/>
    <n v="85500"/>
    <x v="6"/>
    <n v="13"/>
    <n v="1"/>
    <n v="1"/>
    <n v="0"/>
    <n v="1"/>
    <n v="1"/>
    <n v="0"/>
    <n v="0"/>
    <n v="0"/>
    <n v="1"/>
    <n v="1"/>
    <n v="1"/>
    <n v="0"/>
    <n v="0"/>
    <n v="0"/>
    <n v="0"/>
    <n v="0"/>
    <x v="0"/>
    <s v="intermediate"/>
    <s v="Post Graduates"/>
  </r>
  <r>
    <n v="437"/>
    <s v="Data Scientist"/>
    <n v="2.8"/>
    <s v="1-800-FLOWERS.COM, Inc."/>
    <s v="Carle | NY"/>
    <s v="Carle Place | NY"/>
    <s v="1001 - 5000"/>
    <n v="1976"/>
    <x v="3"/>
    <s v="Wholesale"/>
    <s v="Business Services"/>
    <s v="2 billion "/>
    <s v="Unknown"/>
    <n v="0"/>
    <n v="0"/>
    <n v="55000"/>
    <n v="98000"/>
    <n v="76500"/>
    <x v="4"/>
    <n v="47"/>
    <n v="1"/>
    <n v="0"/>
    <n v="0"/>
    <n v="1"/>
    <n v="1"/>
    <n v="1"/>
    <n v="0"/>
    <n v="0"/>
    <n v="0"/>
    <n v="0"/>
    <n v="0"/>
    <n v="1"/>
    <n v="0"/>
    <n v="0"/>
    <n v="0"/>
    <n v="0"/>
    <x v="0"/>
    <s v="intermediate"/>
    <s v="Graduates"/>
  </r>
  <r>
    <n v="438"/>
    <s v="Data Scientist"/>
    <n v="3.5"/>
    <s v="CBS Interactive"/>
    <s v="New | NY"/>
    <s v="San Francisco | CA"/>
    <s v="1001 - 5000"/>
    <n v="1992"/>
    <x v="5"/>
    <s v="TV Broadcast &amp; Cable Networks"/>
    <s v="Media"/>
    <s v="750 million"/>
    <s v="NBCUniversal, Comcast, Netflix"/>
    <n v="0"/>
    <n v="0"/>
    <n v="94000"/>
    <n v="162000"/>
    <n v="128000"/>
    <x v="4"/>
    <n v="31"/>
    <n v="1"/>
    <n v="1"/>
    <n v="0"/>
    <n v="0"/>
    <n v="1"/>
    <n v="0"/>
    <n v="1"/>
    <n v="0"/>
    <n v="1"/>
    <n v="1"/>
    <n v="1"/>
    <n v="1"/>
    <n v="0"/>
    <n v="0"/>
    <n v="1"/>
    <n v="1"/>
    <x v="0"/>
    <s v="intermediate"/>
    <s v="Graduates"/>
  </r>
  <r>
    <n v="439"/>
    <s v="Data Engineer"/>
    <n v="3.2"/>
    <s v="Numeric, LLC"/>
    <s v="King | PA"/>
    <s v="Chadds Ford | PA"/>
    <n v="500"/>
    <s v="Unknown"/>
    <x v="0"/>
    <s v="Staffing &amp; Outsourcing"/>
    <s v="Business Services"/>
    <s v="10 million "/>
    <s v="Unknown"/>
    <n v="0"/>
    <n v="0"/>
    <n v="63000"/>
    <n v="120000"/>
    <n v="91500"/>
    <x v="20"/>
    <s v="Unknown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440"/>
    <s v="Scientist/Senior Scientist, Autoimmune"/>
    <n v="4.4000000000000004"/>
    <s v="Rubius Therapeutics"/>
    <s v="Cambridge | MA"/>
    <s v="Cambridge | MA"/>
    <s v="201 - 500"/>
    <n v="2013"/>
    <x v="3"/>
    <s v="Biotech &amp; Pharmaceuticals"/>
    <s v="Biotech &amp; Pharmaceuticals"/>
    <s v="500 million"/>
    <s v="Unknown"/>
    <n v="0"/>
    <n v="0"/>
    <n v="90000"/>
    <n v="179000"/>
    <n v="134500"/>
    <x v="8"/>
    <n v="10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441"/>
    <s v="Data Scientist"/>
    <n v="3.3"/>
    <s v="Samba TV"/>
    <s v="San | CA"/>
    <s v="San Francisco | CA"/>
    <s v="201 - 500"/>
    <n v="2008"/>
    <x v="0"/>
    <s v="Advertising &amp; Marketing"/>
    <s v="Business Services"/>
    <s v="Unknown / Non-Applicable"/>
    <s v="Unknown"/>
    <n v="0"/>
    <n v="0"/>
    <n v="127000"/>
    <n v="202000"/>
    <n v="164500"/>
    <x v="6"/>
    <n v="15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442"/>
    <s v="Software Engineer - Data Visualization"/>
    <n v="4"/>
    <s v="ClearEdge"/>
    <s v="Annapolis | MD"/>
    <s v="Annapolis Junction | MD"/>
    <s v="51 - 200"/>
    <n v="2002"/>
    <x v="0"/>
    <s v="Computer Hardware &amp; Software"/>
    <s v="Information Technology"/>
    <s v="10 million "/>
    <s v="Unknown"/>
    <n v="0"/>
    <n v="0"/>
    <n v="60000"/>
    <n v="127000"/>
    <n v="93500"/>
    <x v="1"/>
    <n v="21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Masters"/>
  </r>
  <r>
    <n v="443"/>
    <s v="Market Data Analyst"/>
    <n v="3.4"/>
    <s v="SV Microwave"/>
    <s v="West | FL"/>
    <s v="West Palm Beach | FL"/>
    <s v="201 - 500"/>
    <n v="1991"/>
    <x v="3"/>
    <s v="Telecommunications Manufacturing"/>
    <s v="Telecommunications"/>
    <s v="100 million "/>
    <s v="Unknown"/>
    <n v="0"/>
    <n v="0"/>
    <n v="31000"/>
    <n v="57000"/>
    <n v="44000"/>
    <x v="2"/>
    <n v="32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Masters"/>
  </r>
  <r>
    <n v="444"/>
    <s v="Staff Data Engineer"/>
    <n v="3.8"/>
    <s v="Sumo Logic"/>
    <s v="Austin | TX"/>
    <s v="Redwood City | CA"/>
    <s v="501 - 1000"/>
    <n v="2010"/>
    <x v="0"/>
    <s v="Computer Hardware &amp; Software"/>
    <s v="Information Technology"/>
    <s v="Unknown / Non-Applicable"/>
    <s v="Splunk, Datadog, Elastic"/>
    <n v="0"/>
    <n v="0"/>
    <n v="105000"/>
    <n v="194000"/>
    <n v="149500"/>
    <x v="5"/>
    <n v="13"/>
    <n v="0"/>
    <n v="1"/>
    <n v="1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445"/>
    <s v="Associate Data Engineer"/>
    <n v="3.5"/>
    <s v="EAB"/>
    <s v="Washington | DC"/>
    <s v="Washington | DC"/>
    <s v="1001 - 5000"/>
    <n v="2007"/>
    <x v="0"/>
    <s v="Research &amp; Development"/>
    <s v="Business Services"/>
    <s v="Unknown / Non-Applicable"/>
    <s v="Unknown"/>
    <n v="0"/>
    <n v="0"/>
    <n v="45000"/>
    <n v="86000"/>
    <n v="65500"/>
    <x v="16"/>
    <n v="16"/>
    <n v="0"/>
    <n v="1"/>
    <n v="1"/>
    <n v="1"/>
    <n v="1"/>
    <n v="0"/>
    <n v="0"/>
    <n v="0"/>
    <n v="0"/>
    <n v="0"/>
    <n v="0"/>
    <n v="0"/>
    <n v="0"/>
    <n v="0"/>
    <n v="0"/>
    <n v="0"/>
    <x v="3"/>
    <s v="intermediate"/>
    <s v="Masters"/>
  </r>
  <r>
    <n v="446"/>
    <s v="Data Engineer"/>
    <n v="4.4000000000000004"/>
    <s v="SpringML"/>
    <s v="Herndon | VA"/>
    <s v="Pleasanton | CA"/>
    <n v="500"/>
    <n v="2015"/>
    <x v="0"/>
    <s v="Enterprise Software &amp; Network Solutions"/>
    <s v="Information Technology"/>
    <s v="Unknown / Non-Applicable"/>
    <s v="Unknown"/>
    <n v="0"/>
    <n v="0"/>
    <n v="75000"/>
    <n v="143000"/>
    <n v="109000"/>
    <x v="7"/>
    <n v="8"/>
    <n v="1"/>
    <n v="1"/>
    <n v="0"/>
    <n v="0"/>
    <n v="0"/>
    <n v="0"/>
    <n v="0"/>
    <n v="0"/>
    <n v="0"/>
    <n v="0"/>
    <n v="1"/>
    <n v="0"/>
    <n v="0"/>
    <n v="0"/>
    <n v="0"/>
    <n v="0"/>
    <x v="3"/>
    <s v="intermediate"/>
    <s v="Graduates"/>
  </r>
  <r>
    <n v="447"/>
    <s v="Staff Data Engineer"/>
    <n v="3.7"/>
    <s v="Samsung Research America"/>
    <s v="Mountain | CA"/>
    <s v="Mountain View | CA"/>
    <s v="1001 - 5000"/>
    <n v="1988"/>
    <x v="5"/>
    <s v="Computer Hardware &amp; Software"/>
    <s v="Information Technology"/>
    <s v="100 million "/>
    <s v="Sony, LG Electronics, Nokia"/>
    <n v="0"/>
    <n v="0"/>
    <n v="126000"/>
    <n v="228000"/>
    <n v="177000"/>
    <x v="6"/>
    <n v="35"/>
    <n v="1"/>
    <n v="1"/>
    <n v="1"/>
    <n v="0"/>
    <n v="1"/>
    <n v="0"/>
    <n v="0"/>
    <n v="0"/>
    <n v="0"/>
    <n v="0"/>
    <n v="1"/>
    <n v="0"/>
    <n v="0"/>
    <n v="1"/>
    <n v="1"/>
    <n v="0"/>
    <x v="3"/>
    <s v="intermediate"/>
    <s v="Post Graduates"/>
  </r>
  <r>
    <n v="448"/>
    <s v="Data Scientist"/>
    <n v="4.7"/>
    <s v="Systems &amp; Technology Research"/>
    <s v="Arlington | VA"/>
    <s v="Woburn | MA"/>
    <s v="201 - 500"/>
    <n v="2010"/>
    <x v="0"/>
    <s v="Aerospace &amp; Defense"/>
    <s v="Aerospace &amp; Defense"/>
    <s v="500 million"/>
    <s v="Unknown"/>
    <n v="0"/>
    <n v="0"/>
    <n v="80000"/>
    <n v="134000"/>
    <n v="107000"/>
    <x v="7"/>
    <n v="13"/>
    <n v="1"/>
    <n v="1"/>
    <n v="0"/>
    <n v="1"/>
    <n v="1"/>
    <n v="0"/>
    <n v="0"/>
    <n v="1"/>
    <n v="1"/>
    <n v="1"/>
    <n v="1"/>
    <n v="0"/>
    <n v="0"/>
    <n v="0"/>
    <n v="0"/>
    <n v="0"/>
    <x v="0"/>
    <s v="intermediate"/>
    <s v="Post Graduates"/>
  </r>
  <r>
    <n v="449"/>
    <s v="Data Scientist"/>
    <n v="4.0999999999999996"/>
    <s v="Netskope"/>
    <s v="Santa | CA"/>
    <s v="Santa Clara | CA"/>
    <s v="501 - 1000"/>
    <n v="2012"/>
    <x v="0"/>
    <s v="Enterprise Software &amp; Network Solutions"/>
    <s v="Information Technology"/>
    <s v="Unknown / Non-Applicable"/>
    <s v="Skyhigh Networks, Zscaler, NortonLifeLock"/>
    <n v="0"/>
    <n v="0"/>
    <n v="120000"/>
    <n v="189000"/>
    <n v="154500"/>
    <x v="6"/>
    <n v="11"/>
    <n v="1"/>
    <n v="1"/>
    <n v="0"/>
    <n v="1"/>
    <n v="0"/>
    <n v="0"/>
    <n v="0"/>
    <n v="0"/>
    <n v="0"/>
    <n v="1"/>
    <n v="0"/>
    <n v="0"/>
    <n v="0"/>
    <n v="1"/>
    <n v="0"/>
    <n v="0"/>
    <x v="0"/>
    <s v="intermediate"/>
    <s v="Post Graduates"/>
  </r>
  <r>
    <n v="450"/>
    <s v="Data Scientist"/>
    <n v="4"/>
    <s v="Lorven Technologies Inc"/>
    <s v="Santa | CA"/>
    <s v="Plainsboro | NJ"/>
    <n v="500"/>
    <s v="Unknown"/>
    <x v="0"/>
    <s v="Accounting"/>
    <s v="Accounting &amp; Legal"/>
    <s v="1 million"/>
    <s v="Unknown"/>
    <n v="0"/>
    <n v="0"/>
    <n v="85000"/>
    <n v="142000"/>
    <n v="113500"/>
    <x v="6"/>
    <s v="Unknown"/>
    <n v="1"/>
    <n v="1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451"/>
    <s v="Senior Data Scientist"/>
    <n v="3.5"/>
    <s v="Brighthouse Financial"/>
    <s v="Charlotte | NC"/>
    <s v="Charlotte | NC"/>
    <s v="1001 - 5000"/>
    <n v="2017"/>
    <x v="3"/>
    <s v="Insurance Carriers"/>
    <s v="Insurance"/>
    <s v="Unknown / Non-Applicable"/>
    <s v="Unknown"/>
    <n v="0"/>
    <n v="0"/>
    <n v="95000"/>
    <n v="154000"/>
    <n v="124500"/>
    <x v="25"/>
    <n v="6"/>
    <n v="1"/>
    <n v="1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452"/>
    <s v="Data Scientist"/>
    <n v="2.5"/>
    <s v="CareDx"/>
    <s v="Brisbane | CA"/>
    <s v="Brisbane | CA"/>
    <n v="500"/>
    <s v="Unknown"/>
    <x v="0"/>
    <s v="Biotech &amp; Pharmaceuticals"/>
    <s v="Biotech &amp; Pharmaceuticals"/>
    <s v="Unknown / Non-Applicable"/>
    <s v="Sequenom"/>
    <n v="0"/>
    <n v="0"/>
    <n v="111000"/>
    <n v="176000"/>
    <n v="143500"/>
    <x v="6"/>
    <s v="Unknown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Post Graduates"/>
  </r>
  <r>
    <n v="453"/>
    <s v="Data Scientist"/>
    <n v="3.9"/>
    <s v="Serigor Inc."/>
    <s v="San | CA"/>
    <s v="Baltimore | MD"/>
    <n v="500"/>
    <s v="Unknown"/>
    <x v="0"/>
    <s v="IT Services"/>
    <s v="Information Technology"/>
    <s v="1 million"/>
    <s v="Unknown"/>
    <n v="0"/>
    <n v="0"/>
    <n v="87000"/>
    <n v="140000"/>
    <n v="113500"/>
    <x v="6"/>
    <s v="Unknown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454"/>
    <s v="Data Scientist"/>
    <n v="3.4"/>
    <s v="Leidos"/>
    <s v="Springfield | VA"/>
    <s v="Reston | VA"/>
    <s v="10000+"/>
    <n v="1969"/>
    <x v="3"/>
    <s v="Aerospace &amp; Defense"/>
    <s v="Aerospace &amp; Defense"/>
    <s v="10 billion "/>
    <s v="Unknown"/>
    <n v="0"/>
    <n v="0"/>
    <n v="76000"/>
    <n v="127000"/>
    <n v="101500"/>
    <x v="7"/>
    <n v="54"/>
    <n v="1"/>
    <n v="0"/>
    <n v="1"/>
    <n v="0"/>
    <n v="0"/>
    <n v="0"/>
    <n v="0"/>
    <n v="1"/>
    <n v="0"/>
    <n v="1"/>
    <n v="0"/>
    <n v="0"/>
    <n v="0"/>
    <n v="0"/>
    <n v="0"/>
    <n v="0"/>
    <x v="0"/>
    <s v="intermediate"/>
    <s v="Masters"/>
  </r>
  <r>
    <n v="455"/>
    <s v="Data Analyst, Performance Partnership"/>
    <n v="3.6"/>
    <s v="Beckman Coulter Diagnostics"/>
    <s v="New | NY"/>
    <s v="Brea | CA"/>
    <s v="10000+"/>
    <n v="1935"/>
    <x v="5"/>
    <s v="Health Care Products Manufacturing"/>
    <s v="Manufacturing"/>
    <s v="5 billion "/>
    <s v="Abbott Laboratories, Roche, Thermo Fisher Scientific"/>
    <n v="0"/>
    <n v="0"/>
    <n v="54000"/>
    <n v="92000"/>
    <n v="73000"/>
    <x v="4"/>
    <n v="88"/>
    <n v="0"/>
    <n v="0"/>
    <n v="1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456"/>
    <s v="Data Scientist"/>
    <n v="3.5"/>
    <s v="IHS Markit"/>
    <s v="New | NY"/>
    <s v="London | United Kingdom"/>
    <s v="10000+"/>
    <n v="2016"/>
    <x v="3"/>
    <s v="Consulting"/>
    <s v="Business Services"/>
    <s v="5 billion "/>
    <s v="Thomson Reuters, International Data Group"/>
    <n v="0"/>
    <n v="0"/>
    <n v="61000"/>
    <n v="100000"/>
    <n v="80500"/>
    <x v="4"/>
    <n v="7"/>
    <n v="1"/>
    <n v="0"/>
    <n v="1"/>
    <n v="0"/>
    <n v="1"/>
    <n v="0"/>
    <n v="0"/>
    <n v="0"/>
    <n v="0"/>
    <n v="0"/>
    <n v="0"/>
    <n v="0"/>
    <n v="0"/>
    <n v="0"/>
    <n v="0"/>
    <n v="0"/>
    <x v="0"/>
    <s v="intermediate"/>
    <s v="Masters"/>
  </r>
  <r>
    <n v="457"/>
    <s v="Data Scientist"/>
    <n v="0"/>
    <s v="ALI"/>
    <s v="New | NY"/>
    <s v="Noida | India"/>
    <n v="500"/>
    <s v="Unknown"/>
    <x v="0"/>
    <s v="Unknown"/>
    <s v="Unknown"/>
    <s v="Unknown / Non-Applicable"/>
    <s v="Unknown"/>
    <n v="0"/>
    <n v="0"/>
    <n v="81000"/>
    <n v="140000"/>
    <n v="110500"/>
    <x v="4"/>
    <s v="Unknown"/>
    <n v="1"/>
    <n v="0"/>
    <n v="0"/>
    <n v="0"/>
    <n v="1"/>
    <n v="0"/>
    <n v="0"/>
    <n v="0"/>
    <n v="0"/>
    <n v="1"/>
    <n v="0"/>
    <n v="0"/>
    <n v="0"/>
    <n v="0"/>
    <n v="0"/>
    <n v="0"/>
    <x v="0"/>
    <s v="intermediate"/>
    <s v="Masters"/>
  </r>
  <r>
    <n v="458"/>
    <s v="Staff BI and Data Engineer"/>
    <n v="2.9"/>
    <s v="Affinity Solutions"/>
    <s v="San | CA"/>
    <s v="New York | NY"/>
    <s v="51 - 200"/>
    <n v="1998"/>
    <x v="0"/>
    <s v="Advertising &amp; Marketing"/>
    <s v="Business Services"/>
    <s v="Unknown / Non-Applicable"/>
    <s v="Commerce Signals, Cardlytics, Yodlee"/>
    <n v="0"/>
    <n v="0"/>
    <n v="80000"/>
    <n v="148000"/>
    <n v="114000"/>
    <x v="6"/>
    <n v="25"/>
    <n v="1"/>
    <n v="1"/>
    <n v="0"/>
    <n v="0"/>
    <n v="1"/>
    <n v="0"/>
    <n v="0"/>
    <n v="0"/>
    <n v="0"/>
    <n v="0"/>
    <n v="0"/>
    <n v="1"/>
    <n v="0"/>
    <n v="0"/>
    <n v="0"/>
    <n v="0"/>
    <x v="3"/>
    <s v="intermediate"/>
    <s v="Masters"/>
  </r>
  <r>
    <n v="459"/>
    <s v="Data Scientist"/>
    <n v="3.5"/>
    <s v="e-IT Professionals Corp."/>
    <s v="Foster | CA"/>
    <s v="Canton | MI"/>
    <s v="51 - 200"/>
    <s v="Unknown"/>
    <x v="0"/>
    <s v="Health, Beauty, &amp; Fitness"/>
    <s v="Consumer Services"/>
    <s v="10 million "/>
    <s v="Unknown"/>
    <n v="0"/>
    <n v="0"/>
    <n v="108000"/>
    <n v="171000"/>
    <n v="139500"/>
    <x v="6"/>
    <s v="Unknown"/>
    <n v="1"/>
    <n v="0"/>
    <n v="0"/>
    <n v="0"/>
    <n v="1"/>
    <n v="0"/>
    <n v="0"/>
    <n v="0"/>
    <n v="0"/>
    <n v="0"/>
    <n v="0"/>
    <n v="0"/>
    <n v="0"/>
    <n v="0"/>
    <n v="0"/>
    <n v="0"/>
    <x v="0"/>
    <s v="intermediate"/>
    <s v="Graduates"/>
  </r>
  <r>
    <n v="460"/>
    <s v="Data Scientist"/>
    <n v="4.8"/>
    <s v="TechProjects"/>
    <s v="New | NY"/>
    <s v="North Brunswick | NJ"/>
    <n v="500"/>
    <n v="2011"/>
    <x v="0"/>
    <s v="IT Services"/>
    <s v="Information Technology"/>
    <s v="Unknown / Non-Applicable"/>
    <s v="Unknown"/>
    <n v="0"/>
    <n v="0"/>
    <n v="112000"/>
    <n v="179000"/>
    <n v="145500"/>
    <x v="4"/>
    <n v="12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Graduates"/>
  </r>
  <r>
    <n v="461"/>
    <s v="Data Scientist"/>
    <n v="4"/>
    <s v="Biz2Credit Inc"/>
    <s v="New | NY"/>
    <s v="New York | NY"/>
    <s v="201 - 500"/>
    <n v="2007"/>
    <x v="0"/>
    <s v="Lending"/>
    <s v="Finance"/>
    <s v="500 million"/>
    <s v="Fundera, Bond Street, OnDeck"/>
    <n v="0"/>
    <n v="0"/>
    <n v="63000"/>
    <n v="111000"/>
    <n v="87000"/>
    <x v="4"/>
    <n v="16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462"/>
    <s v="Data Scientist"/>
    <n v="4.2"/>
    <s v="PeoplesBank"/>
    <s v="Holyoke | MA"/>
    <s v="Holyoke | MA"/>
    <s v="201 - 500"/>
    <n v="1885"/>
    <x v="0"/>
    <s v="Banks &amp; Credit Unions"/>
    <s v="Finance"/>
    <s v="100 million "/>
    <s v="Unknown"/>
    <n v="0"/>
    <n v="0"/>
    <n v="75000"/>
    <n v="126000"/>
    <n v="100500"/>
    <x v="8"/>
    <n v="138"/>
    <n v="0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Masters"/>
  </r>
  <r>
    <n v="463"/>
    <s v="Data Scientist Manager"/>
    <n v="3.8"/>
    <s v="Capgemini"/>
    <s v="New | NY"/>
    <s v="Paris | France"/>
    <s v="10000+"/>
    <n v="1967"/>
    <x v="3"/>
    <s v="Enterprise Software &amp; Network Solutions"/>
    <s v="Information Technology"/>
    <s v="10 billion "/>
    <s v="Accenture, CGI, Sopra Steria"/>
    <n v="0"/>
    <n v="0"/>
    <n v="110000"/>
    <n v="184000"/>
    <n v="147000"/>
    <x v="4"/>
    <n v="56"/>
    <n v="1"/>
    <n v="1"/>
    <n v="0"/>
    <n v="1"/>
    <n v="1"/>
    <n v="1"/>
    <n v="0"/>
    <n v="0"/>
    <n v="1"/>
    <n v="0"/>
    <n v="1"/>
    <n v="0"/>
    <n v="0"/>
    <n v="0"/>
    <n v="1"/>
    <n v="0"/>
    <x v="0"/>
    <s v="intermediate"/>
    <s v="Masters"/>
  </r>
  <r>
    <n v="464"/>
    <s v="Data Engineer"/>
    <n v="3.7"/>
    <s v="GNY Insurance Companies"/>
    <s v="New | NY"/>
    <s v="New York | NY"/>
    <s v="201 - 500"/>
    <n v="1914"/>
    <x v="0"/>
    <s v="Insurance Carriers"/>
    <s v="Insurance"/>
    <s v="500 million"/>
    <s v="Travelers, Chubb, Crum &amp; Forster"/>
    <n v="0"/>
    <n v="0"/>
    <n v="76000"/>
    <n v="145000"/>
    <n v="110500"/>
    <x v="4"/>
    <n v="109"/>
    <n v="1"/>
    <n v="0"/>
    <n v="0"/>
    <n v="1"/>
    <n v="1"/>
    <n v="0"/>
    <n v="0"/>
    <n v="0"/>
    <n v="0"/>
    <n v="0"/>
    <n v="0"/>
    <n v="0"/>
    <n v="0"/>
    <n v="0"/>
    <n v="0"/>
    <n v="0"/>
    <x v="3"/>
    <s v="intermediate"/>
    <s v="Masters"/>
  </r>
  <r>
    <n v="465"/>
    <s v="Marketing Data Analyst"/>
    <n v="3.9"/>
    <s v="Citadel Federal Credit Union"/>
    <s v="Exton | PA"/>
    <s v="Exton | PA"/>
    <s v="501 - 1000"/>
    <n v="1937"/>
    <x v="6"/>
    <s v="Banks &amp; Credit Unions"/>
    <s v="Finance"/>
    <s v="Unknown / Non-Applicable"/>
    <s v="TruMark Financial, North Island Credit Union, CommunityAmerica Credit Union"/>
    <n v="0"/>
    <n v="0"/>
    <n v="36000"/>
    <n v="62000"/>
    <n v="49000"/>
    <x v="20"/>
    <n v="86"/>
    <n v="1"/>
    <n v="0"/>
    <n v="0"/>
    <n v="0"/>
    <n v="1"/>
    <n v="0"/>
    <n v="0"/>
    <n v="0"/>
    <n v="0"/>
    <n v="0"/>
    <n v="0"/>
    <n v="1"/>
    <n v="1"/>
    <n v="0"/>
    <n v="0"/>
    <n v="0"/>
    <x v="2"/>
    <s v="intermediate"/>
    <s v="Graduates"/>
  </r>
  <r>
    <n v="466"/>
    <s v="Data Scientist"/>
    <n v="4.5999999999999996"/>
    <s v="Conch Technologies, Inc"/>
    <s v="Waltham | MA"/>
    <s v="Memphis | TN"/>
    <s v="51 - 200"/>
    <s v="Unknown"/>
    <x v="0"/>
    <s v="Consulting"/>
    <s v="Business Services"/>
    <s v="10 million "/>
    <s v="Unknown"/>
    <n v="0"/>
    <n v="0"/>
    <n v="70000"/>
    <n v="118000"/>
    <n v="94000"/>
    <x v="8"/>
    <s v="Unknown"/>
    <n v="1"/>
    <n v="1"/>
    <n v="1"/>
    <n v="0"/>
    <n v="1"/>
    <n v="0"/>
    <n v="0"/>
    <n v="0"/>
    <n v="0"/>
    <n v="0"/>
    <n v="1"/>
    <n v="1"/>
    <n v="1"/>
    <n v="0"/>
    <n v="0"/>
    <n v="0"/>
    <x v="0"/>
    <s v="intermediate"/>
    <s v="Masters"/>
  </r>
  <r>
    <n v="467"/>
    <s v="Senior Data Scientist"/>
    <n v="4.3"/>
    <s v="Medidata Solutions"/>
    <s v="New | NY"/>
    <s v="New York | NY"/>
    <s v="1001 - 5000"/>
    <n v="1999"/>
    <x v="3"/>
    <s v="Enterprise Software &amp; Network Solutions"/>
    <s v="Information Technology"/>
    <s v="750 million"/>
    <s v="Oracle"/>
    <n v="0"/>
    <n v="0"/>
    <n v="94000"/>
    <n v="153000"/>
    <n v="123500"/>
    <x v="4"/>
    <n v="24"/>
    <n v="1"/>
    <n v="0"/>
    <n v="1"/>
    <n v="0"/>
    <n v="1"/>
    <n v="0"/>
    <n v="0"/>
    <n v="0"/>
    <n v="0"/>
    <n v="0"/>
    <n v="0"/>
    <n v="0"/>
    <n v="0"/>
    <n v="0"/>
    <n v="0"/>
    <n v="0"/>
    <x v="0"/>
    <s v="Senior "/>
    <s v="Masters"/>
  </r>
  <r>
    <n v="468"/>
    <s v="Principal Scientist, Hematology"/>
    <n v="3.3"/>
    <s v="Rochester Regional Health"/>
    <s v="Rochester | NY"/>
    <s v="Rochester | NY"/>
    <s v="10000+"/>
    <n v="2014"/>
    <x v="4"/>
    <s v="Health Care Services &amp; Hospitals"/>
    <s v="Health Care"/>
    <s v="750 million"/>
    <s v="Unknown"/>
    <n v="0"/>
    <n v="0"/>
    <n v="54000"/>
    <n v="115000"/>
    <n v="84500"/>
    <x v="4"/>
    <n v="9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469"/>
    <s v="Data Analyst"/>
    <n v="3.7"/>
    <s v="CALIBRE Systems"/>
    <s v="Alexandria | VA"/>
    <s v="Alexandria | VA"/>
    <s v="501 - 1000"/>
    <n v="1989"/>
    <x v="0"/>
    <s v="IT Services"/>
    <s v="Information Technology"/>
    <s v="500 million"/>
    <s v="CSC, Booz Allen Hamilton, ManTech"/>
    <n v="0"/>
    <n v="0"/>
    <n v="50000"/>
    <n v="92000"/>
    <n v="71000"/>
    <x v="7"/>
    <n v="34"/>
    <n v="0"/>
    <n v="0"/>
    <n v="0"/>
    <n v="1"/>
    <n v="1"/>
    <n v="0"/>
    <n v="0"/>
    <n v="0"/>
    <n v="0"/>
    <n v="0"/>
    <n v="0"/>
    <n v="1"/>
    <n v="1"/>
    <n v="0"/>
    <n v="0"/>
    <n v="0"/>
    <x v="2"/>
    <s v="intermediate"/>
    <s v="Graduates"/>
  </r>
  <r>
    <n v="470"/>
    <s v="Software Data Engineer - College"/>
    <n v="4"/>
    <s v="HP Inc."/>
    <s v="Corvallis | OR"/>
    <s v="Palo Alto | CA"/>
    <s v="10000+"/>
    <n v="1939"/>
    <x v="3"/>
    <s v="Computer Hardware &amp; Software"/>
    <s v="Information Technology"/>
    <s v="Unknown / Non-Applicable"/>
    <s v="Unknown"/>
    <n v="0"/>
    <n v="0"/>
    <n v="49000"/>
    <n v="97000"/>
    <n v="73000"/>
    <x v="13"/>
    <n v="84"/>
    <n v="0"/>
    <n v="0"/>
    <n v="0"/>
    <n v="0"/>
    <n v="1"/>
    <n v="0"/>
    <n v="0"/>
    <n v="0"/>
    <n v="0"/>
    <n v="0"/>
    <n v="0"/>
    <n v="0"/>
    <n v="0"/>
    <n v="0"/>
    <n v="0"/>
    <n v="0"/>
    <x v="3"/>
    <s v="intermediate"/>
    <s v="Masters"/>
  </r>
  <r>
    <n v="471"/>
    <s v="Director - Data, Privacy and AI Governance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67000"/>
    <n v="135000"/>
    <n v="101000"/>
    <x v="8"/>
    <n v="172"/>
    <n v="0"/>
    <n v="0"/>
    <n v="0"/>
    <n v="0"/>
    <n v="0"/>
    <n v="0"/>
    <n v="0"/>
    <n v="0"/>
    <n v="0"/>
    <n v="0"/>
    <n v="0"/>
    <n v="0"/>
    <n v="0"/>
    <n v="0"/>
    <n v="0"/>
    <n v="0"/>
    <x v="8"/>
    <s v="intermediate"/>
    <s v="Graduates"/>
  </r>
  <r>
    <n v="472"/>
    <s v="Staff Machine Learning Engineer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138000"/>
    <n v="224000"/>
    <n v="181000"/>
    <x v="6"/>
    <n v="16"/>
    <n v="1"/>
    <n v="1"/>
    <n v="0"/>
    <n v="0"/>
    <n v="1"/>
    <n v="0"/>
    <n v="0"/>
    <n v="0"/>
    <n v="1"/>
    <n v="1"/>
    <n v="0"/>
    <n v="0"/>
    <n v="0"/>
    <n v="0"/>
    <n v="0"/>
    <n v="0"/>
    <x v="7"/>
    <s v="intermediate"/>
    <s v="Graduates"/>
  </r>
  <r>
    <n v="473"/>
    <s v="Data Scientist"/>
    <n v="3.7"/>
    <s v="Northrop Grumman"/>
    <s v="San | CA"/>
    <s v="Falls Church | VA"/>
    <s v="10000+"/>
    <n v="1939"/>
    <x v="3"/>
    <s v="Aerospace &amp; Defense"/>
    <s v="Aerospace &amp; Defense"/>
    <s v="10 billion "/>
    <s v="Unknown"/>
    <n v="0"/>
    <n v="0"/>
    <n v="80000"/>
    <n v="139000"/>
    <n v="109500"/>
    <x v="6"/>
    <n v="84"/>
    <n v="0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Graduates"/>
  </r>
  <r>
    <n v="474"/>
    <s v="Lead Data Scientist"/>
    <n v="3.7"/>
    <s v="Visa Inc."/>
    <s v="Bellevue | WA"/>
    <s v="Foster City | CA"/>
    <s v="10000+"/>
    <n v="1958"/>
    <x v="3"/>
    <s v="IT Services"/>
    <s v="Information Technology"/>
    <s v="10 billion "/>
    <s v="American Express, Mastercard, Discover"/>
    <n v="0"/>
    <n v="0"/>
    <n v="158000"/>
    <n v="211000"/>
    <n v="184500"/>
    <x v="3"/>
    <n v="65"/>
    <n v="1"/>
    <n v="0"/>
    <n v="0"/>
    <n v="1"/>
    <n v="1"/>
    <n v="1"/>
    <n v="0"/>
    <n v="0"/>
    <n v="0"/>
    <n v="0"/>
    <n v="0"/>
    <n v="1"/>
    <n v="0"/>
    <n v="0"/>
    <n v="0"/>
    <n v="0"/>
    <x v="0"/>
    <s v="Senior "/>
    <s v="Graduates"/>
  </r>
  <r>
    <n v="475"/>
    <s v="Senior Data Scientist - Algorithms"/>
    <n v="3.9"/>
    <s v="Quartet Health"/>
    <s v="New | NY"/>
    <s v="New York | NY"/>
    <s v="201 - 500"/>
    <n v="2014"/>
    <x v="0"/>
    <s v="Enterprise Software &amp; Network Solutions"/>
    <s v="Information Technology"/>
    <s v="Unknown / Non-Applicable"/>
    <s v="Unknown"/>
    <n v="0"/>
    <n v="0"/>
    <n v="150000"/>
    <n v="180000"/>
    <n v="165000"/>
    <x v="4"/>
    <n v="9"/>
    <n v="1"/>
    <n v="0"/>
    <n v="0"/>
    <n v="0"/>
    <n v="0"/>
    <n v="0"/>
    <n v="0"/>
    <n v="0"/>
    <n v="1"/>
    <n v="0"/>
    <n v="1"/>
    <n v="0"/>
    <n v="0"/>
    <n v="0"/>
    <n v="0"/>
    <n v="0"/>
    <x v="0"/>
    <s v="Senior "/>
    <s v="Masters"/>
  </r>
  <r>
    <n v="476"/>
    <s v="Information Security Data Analyst"/>
    <n v="3.7"/>
    <s v="Motorola Solutions"/>
    <s v="Chicago | IL"/>
    <s v="Chicago | IL"/>
    <s v="10000+"/>
    <n v="1928"/>
    <x v="3"/>
    <s v="Computer Hardware &amp; Software"/>
    <s v="Information Technology"/>
    <s v="10 billion"/>
    <s v="Cisco Systems, Huawei Technologies, IBM"/>
    <n v="0"/>
    <n v="0"/>
    <n v="42000"/>
    <n v="80000"/>
    <n v="61000"/>
    <x v="11"/>
    <n v="95"/>
    <n v="1"/>
    <n v="1"/>
    <n v="0"/>
    <n v="0"/>
    <n v="1"/>
    <n v="0"/>
    <n v="0"/>
    <n v="0"/>
    <n v="0"/>
    <n v="0"/>
    <n v="1"/>
    <n v="0"/>
    <n v="0"/>
    <n v="0"/>
    <n v="0"/>
    <n v="0"/>
    <x v="2"/>
    <s v="intermediate"/>
    <s v="Masters"/>
  </r>
  <r>
    <n v="477"/>
    <s v="Lead Data Engineer"/>
    <n v="4.0999999999999996"/>
    <s v="Credit Sesame"/>
    <s v="Mountain | CA"/>
    <s v="Mountain View | CA"/>
    <s v="51 - 200"/>
    <n v="2010"/>
    <x v="0"/>
    <s v="Internet"/>
    <s v="Information Technology"/>
    <s v="100 million "/>
    <s v="Credit Karma, LendUp, SoFi"/>
    <n v="0"/>
    <n v="0"/>
    <n v="190000"/>
    <n v="220000"/>
    <n v="205000"/>
    <x v="6"/>
    <n v="13"/>
    <n v="1"/>
    <n v="1"/>
    <n v="1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478"/>
    <s v="Data Analyst"/>
    <n v="3.1"/>
    <s v="Success Academy Charter Schools"/>
    <s v="New | NY"/>
    <s v="New York | NY"/>
    <s v="1001 - 5000"/>
    <n v="2006"/>
    <x v="8"/>
    <s v="K-12 Education"/>
    <s v="Education"/>
    <s v="500 million"/>
    <s v="Unknown"/>
    <n v="0"/>
    <n v="0"/>
    <n v="42000"/>
    <n v="77000"/>
    <n v="59500"/>
    <x v="4"/>
    <n v="17"/>
    <n v="1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479"/>
    <s v="Scientist Manufacturing - Kentucky BioProcessing"/>
    <n v="3.1"/>
    <s v="Reynolds American"/>
    <s v="Owensboro | KY"/>
    <s v="Winston-Salem | NC"/>
    <s v="5001 - 10000"/>
    <n v="1875"/>
    <x v="0"/>
    <s v="Consumer Products Manufacturing"/>
    <s v="Manufacturing"/>
    <s v="10 billion "/>
    <s v="Unknown"/>
    <n v="0"/>
    <n v="0"/>
    <n v="68000"/>
    <n v="139000"/>
    <n v="103500"/>
    <x v="12"/>
    <n v="14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480"/>
    <s v="Consultant - Analytics Consulting"/>
    <n v="3"/>
    <s v="Infosys"/>
    <s v="Hartford | CT"/>
    <s v="Bengaluru | India"/>
    <s v="10000+"/>
    <n v="1981"/>
    <x v="3"/>
    <s v="IT Services"/>
    <s v="Information Technology"/>
    <s v="10 billion "/>
    <s v="Tata Consultancy Services, Accenture, Cognizant Technology Solutions"/>
    <n v="0"/>
    <n v="0"/>
    <n v="54000"/>
    <n v="71000"/>
    <n v="62500"/>
    <x v="14"/>
    <n v="42"/>
    <n v="0"/>
    <n v="0"/>
    <n v="0"/>
    <n v="1"/>
    <n v="0"/>
    <n v="0"/>
    <n v="0"/>
    <n v="0"/>
    <n v="0"/>
    <n v="0"/>
    <n v="0"/>
    <n v="0"/>
    <n v="0"/>
    <n v="0"/>
    <n v="0"/>
    <n v="0"/>
    <x v="4"/>
    <s v="intermediate"/>
    <s v="Graduates"/>
  </r>
  <r>
    <n v="481"/>
    <s v="Data Analytics Project Manager"/>
    <n v="3.6"/>
    <s v="MassMutual"/>
    <s v="Springfield | MA"/>
    <s v="Springfield | MA"/>
    <s v="5001 - 10000"/>
    <n v="1851"/>
    <x v="0"/>
    <s v="Insurance Carriers"/>
    <s v="Insurance"/>
    <s v="10 billion "/>
    <s v="Unknown"/>
    <n v="0"/>
    <n v="0"/>
    <n v="34000"/>
    <n v="92000"/>
    <n v="63000"/>
    <x v="8"/>
    <n v="172"/>
    <n v="0"/>
    <n v="0"/>
    <n v="0"/>
    <n v="1"/>
    <n v="0"/>
    <n v="0"/>
    <n v="0"/>
    <n v="0"/>
    <n v="0"/>
    <n v="0"/>
    <n v="0"/>
    <n v="0"/>
    <n v="0"/>
    <n v="0"/>
    <n v="0"/>
    <n v="0"/>
    <x v="6"/>
    <s v="intermediate"/>
    <s v="Masters"/>
  </r>
  <r>
    <n v="482"/>
    <s v="Data Analyst"/>
    <n v="3.6"/>
    <s v="AXION Healthcare Solutions"/>
    <s v="New | NY"/>
    <s v="New York | NY"/>
    <n v="500"/>
    <n v="1980"/>
    <x v="0"/>
    <s v="Health Care Services &amp; Hospitals"/>
    <s v="Health Care"/>
    <s v="25 million"/>
    <s v="The Execu|Search Group, Prime Staffing"/>
    <n v="0"/>
    <n v="0"/>
    <n v="47000"/>
    <n v="85000"/>
    <n v="66000"/>
    <x v="4"/>
    <n v="43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483"/>
    <s v="Data Engineer"/>
    <n v="3.5"/>
    <s v="Alignment Healthcare"/>
    <s v="Orange | CA"/>
    <s v="Orange | CA"/>
    <s v="501 - 1000"/>
    <n v="2013"/>
    <x v="0"/>
    <s v="Health Care Services &amp; Hospitals"/>
    <s v="Health Care"/>
    <s v="Unknown / Non-Applicable"/>
    <s v="Unknown"/>
    <n v="0"/>
    <n v="0"/>
    <n v="65000"/>
    <n v="124000"/>
    <n v="94500"/>
    <x v="6"/>
    <n v="10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Masters"/>
  </r>
  <r>
    <n v="484"/>
    <s v="Data Scientist"/>
    <n v="4.2"/>
    <s v="ExecOnline"/>
    <s v="New | NY"/>
    <s v="New York | NY"/>
    <s v="51 - 200"/>
    <n v="2012"/>
    <x v="0"/>
    <s v="Education Training Services"/>
    <s v="Education"/>
    <s v="Unknown / Non-Applicable"/>
    <s v="Harvard Business School, Coursera, edX"/>
    <n v="0"/>
    <n v="0"/>
    <n v="56000"/>
    <n v="95000"/>
    <n v="75500"/>
    <x v="4"/>
    <n v="11"/>
    <n v="1"/>
    <n v="0"/>
    <n v="1"/>
    <n v="0"/>
    <n v="1"/>
    <n v="0"/>
    <n v="0"/>
    <n v="0"/>
    <n v="0"/>
    <n v="0"/>
    <n v="1"/>
    <n v="1"/>
    <n v="0"/>
    <n v="0"/>
    <n v="0"/>
    <n v="0"/>
    <x v="0"/>
    <s v="intermediate"/>
    <s v="Graduates"/>
  </r>
  <r>
    <n v="485"/>
    <s v="Machine Learning Engineer"/>
    <n v="4"/>
    <s v="Mteq"/>
    <s v="Fort | VA"/>
    <s v="Lorton | VA"/>
    <s v="501 - 1000"/>
    <n v="1954"/>
    <x v="3"/>
    <s v="Aerospace &amp; Defense"/>
    <s v="Aerospace &amp; Defense"/>
    <s v="500 million"/>
    <s v="Harris, Fibertek"/>
    <n v="0"/>
    <n v="0"/>
    <n v="62000"/>
    <n v="112000"/>
    <n v="87000"/>
    <x v="7"/>
    <n v="69"/>
    <n v="1"/>
    <n v="0"/>
    <n v="0"/>
    <n v="0"/>
    <n v="0"/>
    <n v="0"/>
    <n v="0"/>
    <n v="0"/>
    <n v="0"/>
    <n v="0"/>
    <n v="0"/>
    <n v="0"/>
    <n v="0"/>
    <n v="0"/>
    <n v="0"/>
    <n v="0"/>
    <x v="7"/>
    <s v="intermediate"/>
    <s v="Graduates"/>
  </r>
  <r>
    <n v="486"/>
    <s v="Senior Data Scientist Oncology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07000"/>
    <n v="173000"/>
    <n v="140000"/>
    <x v="1"/>
    <n v="110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Post Graduates"/>
  </r>
  <r>
    <n v="487"/>
    <s v="Data Scientist"/>
    <n v="3.7"/>
    <s v="Brillient"/>
    <s v="Silver | MD"/>
    <s v="Reston | VA"/>
    <s v="201 - 500"/>
    <n v="2006"/>
    <x v="0"/>
    <s v="IT Services"/>
    <s v="Information Technology"/>
    <s v="50 million "/>
    <s v="Unknown"/>
    <n v="0"/>
    <n v="0"/>
    <n v="64000"/>
    <n v="108000"/>
    <n v="86000"/>
    <x v="1"/>
    <n v="17"/>
    <n v="1"/>
    <n v="0"/>
    <n v="0"/>
    <n v="1"/>
    <n v="0"/>
    <n v="1"/>
    <n v="0"/>
    <n v="0"/>
    <n v="0"/>
    <n v="0"/>
    <n v="0"/>
    <n v="0"/>
    <n v="0"/>
    <n v="0"/>
    <n v="0"/>
    <n v="0"/>
    <x v="0"/>
    <s v="intermediate"/>
    <s v="Masters"/>
  </r>
  <r>
    <n v="488"/>
    <s v="Senior Data Scientist"/>
    <n v="4.4000000000000004"/>
    <s v="Entefy"/>
    <s v="Palo | CA"/>
    <s v="Palo Alto | CA"/>
    <n v="500"/>
    <n v="2012"/>
    <x v="0"/>
    <s v="Internet"/>
    <s v="Information Technology"/>
    <s v="Unknown / Non-Applicable"/>
    <s v="Unknown"/>
    <n v="0"/>
    <n v="0"/>
    <n v="89000"/>
    <n v="144000"/>
    <n v="116500"/>
    <x v="6"/>
    <n v="11"/>
    <n v="1"/>
    <n v="0"/>
    <n v="0"/>
    <n v="0"/>
    <n v="1"/>
    <n v="0"/>
    <n v="0"/>
    <n v="0"/>
    <n v="0"/>
    <n v="0"/>
    <n v="0"/>
    <n v="0"/>
    <n v="0"/>
    <n v="0"/>
    <n v="0"/>
    <n v="0"/>
    <x v="0"/>
    <s v="Senior "/>
    <s v="Masters"/>
  </r>
  <r>
    <n v="489"/>
    <s v="Senior Scientist (Neuroscience)"/>
    <n v="3.5"/>
    <s v="Sunovion"/>
    <s v="Marlborough | MA"/>
    <s v="Marlborough | MA"/>
    <s v="1001 - 5000"/>
    <n v="2010"/>
    <x v="0"/>
    <s v="Biotech &amp; Pharmaceuticals"/>
    <s v="Biotech &amp; Pharmaceuticals"/>
    <s v="2 billion "/>
    <s v="Shire, GlaxoSmithKline, Allergan"/>
    <n v="0"/>
    <n v="0"/>
    <n v="109000"/>
    <n v="200000"/>
    <n v="154500"/>
    <x v="8"/>
    <n v="13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490"/>
    <s v="Machine Learning Engineer - Regulatory"/>
    <n v="3.7"/>
    <s v="Cboe Global Markets"/>
    <s v="Lenexa | KS"/>
    <s v="Chicago | IL"/>
    <s v="501 - 1000"/>
    <n v="1973"/>
    <x v="3"/>
    <s v="Stock Exchanges"/>
    <s v="Finance"/>
    <s v="750 million"/>
    <s v="Unknown"/>
    <n v="0"/>
    <n v="0"/>
    <n v="61000"/>
    <n v="113000"/>
    <n v="87000"/>
    <x v="36"/>
    <n v="50"/>
    <n v="1"/>
    <n v="0"/>
    <n v="0"/>
    <n v="1"/>
    <n v="1"/>
    <n v="0"/>
    <n v="0"/>
    <n v="0"/>
    <n v="0"/>
    <n v="0"/>
    <n v="1"/>
    <n v="0"/>
    <n v="0"/>
    <n v="0"/>
    <n v="0"/>
    <n v="0"/>
    <x v="7"/>
    <s v="intermediate"/>
    <s v="Graduates"/>
  </r>
  <r>
    <n v="491"/>
    <s v="Marketing Data Analyst"/>
    <n v="3.6"/>
    <s v="San Manuel Casino"/>
    <s v="Highland | CA"/>
    <s v="Highland | CA"/>
    <s v="1001 - 5000"/>
    <n v="1986"/>
    <x v="0"/>
    <s v="Gambling"/>
    <s v="Arts, Entertainment &amp; Recreation"/>
    <s v="500 million"/>
    <s v="Unknown"/>
    <n v="0"/>
    <n v="0"/>
    <n v="35000"/>
    <n v="62000"/>
    <n v="48500"/>
    <x v="6"/>
    <n v="37"/>
    <n v="0"/>
    <n v="0"/>
    <n v="0"/>
    <n v="1"/>
    <n v="1"/>
    <n v="1"/>
    <n v="0"/>
    <n v="0"/>
    <n v="0"/>
    <n v="0"/>
    <n v="0"/>
    <n v="1"/>
    <n v="0"/>
    <n v="0"/>
    <n v="0"/>
    <n v="1"/>
    <x v="2"/>
    <s v="intermediate"/>
    <s v="Masters"/>
  </r>
  <r>
    <n v="492"/>
    <s v="Data Engineer"/>
    <n v="3.4"/>
    <s v="Trace3"/>
    <s v="Houston | TX"/>
    <s v="Irvine | CA"/>
    <s v="501 - 1000"/>
    <n v="2002"/>
    <x v="0"/>
    <s v="IT Services"/>
    <s v="Information Technology"/>
    <s v="2 billion "/>
    <s v="World Wide Technology, Presidio, Optiv"/>
    <n v="0"/>
    <n v="0"/>
    <n v="55000"/>
    <n v="105000"/>
    <n v="80000"/>
    <x v="5"/>
    <n v="21"/>
    <n v="1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493"/>
    <s v="Medical Laboratory Scientist"/>
    <n v="4"/>
    <s v="Texas Health Huguley Hospital"/>
    <s v="Burleson | TX"/>
    <s v="Arlington | TX"/>
    <s v="1001 - 5000"/>
    <n v="1977"/>
    <x v="4"/>
    <s v="Health Care Services &amp; Hospitals"/>
    <s v="Health Care"/>
    <s v="100 million "/>
    <s v="Unknown"/>
    <n v="1"/>
    <n v="0"/>
    <n v="37000"/>
    <n v="52000"/>
    <n v="44500"/>
    <x v="5"/>
    <n v="46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494"/>
    <s v="R&amp;D Specialist/ Food Scientist"/>
    <n v="2.4"/>
    <s v="Teasdale Latin Foods"/>
    <s v="Hoopeston | IL"/>
    <s v="Flower Mound | TX"/>
    <s v="501 - 1000"/>
    <s v="Unknown"/>
    <x v="0"/>
    <s v="Food &amp; Beverage Manufacturing"/>
    <s v="Manufacturing"/>
    <s v="500 million"/>
    <s v="Unknown"/>
    <n v="0"/>
    <n v="0"/>
    <n v="39000"/>
    <n v="66000"/>
    <n v="52500"/>
    <x v="11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495"/>
    <s v="Principal Data Scientist"/>
    <n v="3.7"/>
    <s v="Northrop Grumman"/>
    <s v="San | CA"/>
    <s v="Falls Church | VA"/>
    <s v="10000+"/>
    <n v="1939"/>
    <x v="3"/>
    <s v="Aerospace &amp; Defense"/>
    <s v="Aerospace &amp; Defense"/>
    <s v="10 billion "/>
    <s v="Unknown"/>
    <n v="0"/>
    <n v="0"/>
    <n v="135000"/>
    <n v="211000"/>
    <n v="173000"/>
    <x v="6"/>
    <n v="84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496"/>
    <s v="Data Engineer"/>
    <n v="3.5"/>
    <s v="Saama Technologies Inc"/>
    <s v="Phoenix | AZ"/>
    <s v="Campbell | CA"/>
    <s v="501 - 1000"/>
    <n v="1997"/>
    <x v="0"/>
    <s v="Biotech &amp; Pharmaceuticals"/>
    <s v="Biotech &amp; Pharmaceuticals"/>
    <s v="Unknown / Non-Applicable"/>
    <s v="Accenture, Deloitte, IBM"/>
    <n v="0"/>
    <n v="0"/>
    <n v="57000"/>
    <n v="80000"/>
    <n v="68500"/>
    <x v="26"/>
    <n v="26"/>
    <n v="1"/>
    <n v="1"/>
    <n v="0"/>
    <n v="0"/>
    <n v="0"/>
    <n v="0"/>
    <n v="0"/>
    <n v="0"/>
    <n v="0"/>
    <n v="0"/>
    <n v="0"/>
    <n v="0"/>
    <n v="0"/>
    <n v="0"/>
    <n v="0"/>
    <n v="0"/>
    <x v="3"/>
    <s v="intermediate"/>
    <s v="Graduates"/>
  </r>
  <r>
    <n v="497"/>
    <s v="Data Scientist - Alpha Insights"/>
    <n v="4.4000000000000004"/>
    <s v="Two Sigma"/>
    <s v="New | NY"/>
    <s v="New York | NY"/>
    <s v="1001 - 5000"/>
    <n v="2001"/>
    <x v="0"/>
    <s v="Investment Banking &amp; Asset Management"/>
    <s v="Finance"/>
    <s v="Unknown / Non-Applicable"/>
    <s v="Unknown"/>
    <n v="0"/>
    <n v="0"/>
    <n v="129000"/>
    <n v="215000"/>
    <n v="172000"/>
    <x v="4"/>
    <n v="22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Post Graduates"/>
  </r>
  <r>
    <n v="498"/>
    <s v="Data Scientist, Office of Data Science"/>
    <n v="3.3"/>
    <s v="Liberty Mutual Insurance"/>
    <s v="Boston | MA"/>
    <s v="Boston | MA"/>
    <s v="10000+"/>
    <n v="1912"/>
    <x v="0"/>
    <s v="Insurance Carriers"/>
    <s v="Insurance"/>
    <s v="10 billion "/>
    <s v="Travelers, Allstate, State Farm"/>
    <n v="0"/>
    <n v="0"/>
    <n v="86000"/>
    <n v="143000"/>
    <n v="114500"/>
    <x v="8"/>
    <n v="111"/>
    <n v="1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499"/>
    <s v="Associate Principal Scientist, Pharmacogenomics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63000"/>
    <n v="127000"/>
    <n v="95000"/>
    <x v="1"/>
    <n v="110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500"/>
    <s v="Data Scientist - Systems Engineering"/>
    <n v="3.2"/>
    <s v="MITRE"/>
    <s v="Bedford | MA"/>
    <s v="Bedford | MA"/>
    <s v="5001 - 10000"/>
    <n v="1958"/>
    <x v="6"/>
    <s v="Federal Agencies"/>
    <s v="Government"/>
    <s v="2 billion "/>
    <s v="Battelle, General Atomics, SAIC"/>
    <n v="0"/>
    <n v="0"/>
    <n v="50000"/>
    <n v="89000"/>
    <n v="69500"/>
    <x v="8"/>
    <n v="65"/>
    <n v="1"/>
    <n v="0"/>
    <n v="0"/>
    <n v="1"/>
    <n v="1"/>
    <n v="1"/>
    <n v="0"/>
    <n v="0"/>
    <n v="0"/>
    <n v="0"/>
    <n v="0"/>
    <n v="1"/>
    <n v="0"/>
    <n v="0"/>
    <n v="1"/>
    <n v="0"/>
    <x v="0"/>
    <s v="intermediate"/>
    <s v="Graduates"/>
  </r>
  <r>
    <n v="501"/>
    <s v="Data Engineer"/>
    <n v="3.2"/>
    <s v="Guidepoint"/>
    <s v="New | NY"/>
    <s v="New York | NY"/>
    <s v="501 - 1000"/>
    <n v="2003"/>
    <x v="0"/>
    <s v="Research &amp; Development"/>
    <s v="Business Services"/>
    <s v="Unknown / Non-Applicable"/>
    <s v="Coleman Research, AlphaSights, Third Bridge"/>
    <n v="0"/>
    <n v="0"/>
    <n v="43000"/>
    <n v="86000"/>
    <n v="64500"/>
    <x v="4"/>
    <n v="20"/>
    <n v="1"/>
    <n v="0"/>
    <n v="1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502"/>
    <s v="Scientist, Bacteriology"/>
    <n v="2.1"/>
    <s v="Cerus Corporation"/>
    <s v="Concord | CA"/>
    <s v="Concord | CA"/>
    <s v="201 - 500"/>
    <s v="Unknown"/>
    <x v="3"/>
    <s v="Biotech &amp; Pharmaceuticals"/>
    <s v="Biotech &amp; Pharmaceuticals"/>
    <s v="50 million "/>
    <s v="Unknown"/>
    <n v="0"/>
    <n v="0"/>
    <n v="74000"/>
    <n v="149000"/>
    <n v="111500"/>
    <x v="6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503"/>
    <s v="Data Scientist"/>
    <n v="4"/>
    <s v="Strategic Financial Solutions"/>
    <s v="New | NY"/>
    <s v="New York | NY"/>
    <s v="501 - 1000"/>
    <n v="2007"/>
    <x v="0"/>
    <s v="Consumer Product Rental"/>
    <s v="Consumer Services"/>
    <s v="Unknown / Non-Applicable"/>
    <s v="National Debt Relief, Freedom Financial Network"/>
    <n v="0"/>
    <n v="0"/>
    <n v="71000"/>
    <n v="124000"/>
    <n v="97500"/>
    <x v="4"/>
    <n v="16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Graduates"/>
  </r>
  <r>
    <n v="504"/>
    <s v="Associate Director, Platform and DevOps- Data Engineering and Aritifical Intelligence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113000"/>
    <n v="196000"/>
    <n v="154500"/>
    <x v="8"/>
    <n v="242"/>
    <n v="0"/>
    <n v="1"/>
    <n v="1"/>
    <n v="1"/>
    <n v="1"/>
    <n v="0"/>
    <n v="0"/>
    <n v="0"/>
    <n v="0"/>
    <n v="0"/>
    <n v="1"/>
    <n v="0"/>
    <n v="0"/>
    <n v="0"/>
    <n v="1"/>
    <n v="0"/>
    <x v="3"/>
    <s v="intermediate"/>
    <s v="Masters"/>
  </r>
  <r>
    <n v="505"/>
    <s v="Senior Research Scientist-Machine Learning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67000"/>
    <n v="124000"/>
    <x v="20"/>
    <n v="39"/>
    <n v="0"/>
    <n v="0"/>
    <n v="0"/>
    <n v="0"/>
    <n v="0"/>
    <n v="0"/>
    <n v="0"/>
    <n v="0"/>
    <n v="0"/>
    <n v="0"/>
    <n v="0"/>
    <n v="0"/>
    <n v="0"/>
    <n v="0"/>
    <n v="0"/>
    <n v="0"/>
    <x v="7"/>
    <s v="Senior "/>
    <s v="Post Graduates"/>
  </r>
  <r>
    <n v="506"/>
    <s v="Data Scientist"/>
    <n v="3.4"/>
    <s v="Remedy BPCI Partners, LLC."/>
    <s v="New | NY"/>
    <s v="Norwalk | CT"/>
    <s v="201 - 500"/>
    <n v="2011"/>
    <x v="0"/>
    <s v="Health Care Services &amp; Hospitals"/>
    <s v="Health Care"/>
    <s v="Unknown / Non-Applicable"/>
    <s v="Healthfirst (New York), naviHealth"/>
    <n v="0"/>
    <n v="0"/>
    <n v="69000"/>
    <n v="121000"/>
    <n v="95000"/>
    <x v="4"/>
    <n v="12"/>
    <n v="1"/>
    <n v="1"/>
    <n v="1"/>
    <n v="0"/>
    <n v="1"/>
    <n v="0"/>
    <n v="0"/>
    <n v="0"/>
    <n v="0"/>
    <n v="0"/>
    <n v="0"/>
    <n v="1"/>
    <n v="0"/>
    <n v="0"/>
    <n v="0"/>
    <n v="0"/>
    <x v="0"/>
    <s v="intermediate"/>
    <s v="Graduates"/>
  </r>
  <r>
    <n v="507"/>
    <s v="Senior Data Scientist"/>
    <n v="4.4000000000000004"/>
    <s v="Maven Wave Partners"/>
    <s v="Chicago | IL"/>
    <s v="Chicago | IL"/>
    <s v="201 - 500"/>
    <n v="2008"/>
    <x v="0"/>
    <s v="Consulting"/>
    <s v="Business Services"/>
    <s v="100 million "/>
    <s v="Unknown"/>
    <n v="0"/>
    <n v="0"/>
    <n v="97000"/>
    <n v="160000"/>
    <n v="128500"/>
    <x v="11"/>
    <n v="15"/>
    <n v="1"/>
    <n v="0"/>
    <n v="1"/>
    <n v="1"/>
    <n v="1"/>
    <n v="0"/>
    <n v="0"/>
    <n v="0"/>
    <n v="0"/>
    <n v="0"/>
    <n v="1"/>
    <n v="1"/>
    <n v="0"/>
    <n v="0"/>
    <n v="0"/>
    <n v="0"/>
    <x v="0"/>
    <s v="Senior "/>
    <s v="Graduates"/>
  </r>
  <r>
    <n v="508"/>
    <s v="Principal Data Scientist"/>
    <n v="3.2"/>
    <s v="The Climate Corporation"/>
    <s v="San | CA"/>
    <s v="San Francisco | CA"/>
    <s v="501 - 1000"/>
    <n v="2006"/>
    <x v="5"/>
    <s v="Enterprise Software &amp; Network Solutions"/>
    <s v="Information Technology"/>
    <s v="Unknown / Non-Applicable"/>
    <s v="Granular, Intuit, John Deere"/>
    <n v="0"/>
    <n v="0"/>
    <n v="150000"/>
    <n v="238000"/>
    <n v="194000"/>
    <x v="6"/>
    <n v="17"/>
    <n v="0"/>
    <n v="0"/>
    <n v="1"/>
    <n v="1"/>
    <n v="0"/>
    <n v="0"/>
    <n v="0"/>
    <n v="0"/>
    <n v="0"/>
    <n v="0"/>
    <n v="0"/>
    <n v="0"/>
    <n v="0"/>
    <n v="0"/>
    <n v="0"/>
    <n v="0"/>
    <x v="0"/>
    <s v="Senior "/>
    <s v="Graduates"/>
  </r>
  <r>
    <n v="509"/>
    <s v="Data Scientist"/>
    <n v="3.5"/>
    <s v="Crossix Solutions"/>
    <s v="New | NY"/>
    <s v="New York | NY"/>
    <s v="201 - 500"/>
    <n v="2005"/>
    <x v="3"/>
    <s v="Advertising &amp; Marketing"/>
    <s v="Business Services"/>
    <s v="Unknown / Non-Applicable"/>
    <s v="Unknown"/>
    <n v="0"/>
    <n v="0"/>
    <n v="77000"/>
    <n v="132000"/>
    <n v="104500"/>
    <x v="4"/>
    <n v="18"/>
    <n v="1"/>
    <n v="1"/>
    <n v="1"/>
    <n v="1"/>
    <n v="1"/>
    <n v="0"/>
    <n v="0"/>
    <n v="0"/>
    <n v="0"/>
    <n v="0"/>
    <n v="0"/>
    <n v="0"/>
    <n v="0"/>
    <n v="0"/>
    <n v="0"/>
    <n v="0"/>
    <x v="0"/>
    <s v="intermediate"/>
    <s v="Masters"/>
  </r>
  <r>
    <n v="510"/>
    <s v="Clinical Laboratory Scientist"/>
    <n v="3.7"/>
    <s v="Vail Health"/>
    <s v="Vail | CO"/>
    <s v="Vail | CO"/>
    <s v="501 - 1000"/>
    <n v="1966"/>
    <x v="4"/>
    <s v="Health Care Services &amp; Hospitals"/>
    <s v="Health Care"/>
    <s v="500 million"/>
    <s v="Unknown"/>
    <n v="1"/>
    <n v="0"/>
    <n v="49000"/>
    <n v="81000"/>
    <n v="65000"/>
    <x v="10"/>
    <n v="5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511"/>
    <s v="Data Engineer - Consultant (Charlotte Based)"/>
    <n v="4.2"/>
    <s v="Clarity Insights"/>
    <s v="Charlotte | NC"/>
    <s v="Chicago | IL"/>
    <s v="201 - 500"/>
    <n v="2008"/>
    <x v="0"/>
    <s v="IT Services"/>
    <s v="Information Technology"/>
    <s v="Unknown / Non-Applicable"/>
    <s v="Unknown"/>
    <n v="0"/>
    <n v="0"/>
    <n v="59000"/>
    <n v="112000"/>
    <n v="85500"/>
    <x v="25"/>
    <n v="15"/>
    <n v="1"/>
    <n v="0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512"/>
    <s v="Data Analyst 1, full-time contract worker for up to 12 months"/>
    <n v="4.2"/>
    <s v="The Church of Jesus Christ of Latter-day Saints"/>
    <s v="Salt | UT"/>
    <s v="Salt Lake City | UT"/>
    <s v="10000+"/>
    <s v="Unknown"/>
    <x v="6"/>
    <s v="Religious Organizations"/>
    <s v="Non-Profit"/>
    <s v="Unknown / Non-Applicable"/>
    <s v="Unknown"/>
    <n v="0"/>
    <n v="0"/>
    <n v="35000"/>
    <n v="65000"/>
    <n v="50000"/>
    <x v="29"/>
    <s v="Unknown"/>
    <n v="0"/>
    <n v="0"/>
    <n v="1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513"/>
    <s v="Data Engineer"/>
    <n v="3.1"/>
    <s v="NCSOFT"/>
    <s v="Aliso | CA"/>
    <s v="Seoul | South Korea"/>
    <s v="1001 - 5000"/>
    <n v="1997"/>
    <x v="3"/>
    <s v="Video Games"/>
    <s v="Media"/>
    <s v="10 billion "/>
    <s v="Blizzard Entertainment, Riot Games, Electronic Arts"/>
    <n v="0"/>
    <n v="0"/>
    <n v="79000"/>
    <n v="147000"/>
    <n v="113000"/>
    <x v="6"/>
    <n v="26"/>
    <n v="1"/>
    <n v="1"/>
    <n v="1"/>
    <n v="1"/>
    <n v="1"/>
    <n v="0"/>
    <n v="0"/>
    <n v="0"/>
    <n v="0"/>
    <n v="0"/>
    <n v="0"/>
    <n v="0"/>
    <n v="0"/>
    <n v="0"/>
    <n v="1"/>
    <n v="0"/>
    <x v="3"/>
    <s v="intermediate"/>
    <s v="Graduates"/>
  </r>
  <r>
    <n v="514"/>
    <s v="Scientist, Immuno-Oncology"/>
    <n v="3.9"/>
    <s v="GSK"/>
    <s v="Cambridge | MA"/>
    <s v="Brentford | United Kingdom"/>
    <s v="10000+"/>
    <n v="1830"/>
    <x v="3"/>
    <s v="Biotech &amp; Pharmaceuticals"/>
    <s v="Biotech &amp; Pharmaceuticals"/>
    <s v="10 billion "/>
    <s v="Pfizer, AstraZeneca, Merck"/>
    <n v="0"/>
    <n v="0"/>
    <n v="62000"/>
    <n v="119000"/>
    <n v="90500"/>
    <x v="8"/>
    <n v="193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515"/>
    <s v="Senior Data Scientist"/>
    <n v="4.3"/>
    <s v="Factual"/>
    <s v="Los | CA"/>
    <s v="Los Angeles | CA"/>
    <s v="51 - 200"/>
    <n v="2008"/>
    <x v="0"/>
    <s v="Computer Hardware &amp; Software"/>
    <s v="Information Technology"/>
    <s v="Unknown / Non-Applicable"/>
    <s v="Foursquare"/>
    <n v="0"/>
    <n v="0"/>
    <n v="119000"/>
    <n v="187000"/>
    <n v="153000"/>
    <x v="6"/>
    <n v="15"/>
    <n v="1"/>
    <n v="1"/>
    <n v="0"/>
    <n v="1"/>
    <n v="0"/>
    <n v="0"/>
    <n v="0"/>
    <n v="0"/>
    <n v="0"/>
    <n v="0"/>
    <n v="0"/>
    <n v="0"/>
    <n v="0"/>
    <n v="0"/>
    <n v="0"/>
    <n v="0"/>
    <x v="0"/>
    <s v="Senior "/>
    <s v="Graduates"/>
  </r>
  <r>
    <n v="516"/>
    <s v="Products Data Analyst II"/>
    <n v="3.3"/>
    <s v="TriNet"/>
    <s v="Dublin | CA"/>
    <s v="Dublin | CA"/>
    <s v="1001 - 5000"/>
    <n v="1988"/>
    <x v="3"/>
    <s v="Consulting"/>
    <s v="Business Services"/>
    <s v="5 billion "/>
    <s v="Paychex, Insperity, ADP"/>
    <n v="0"/>
    <n v="0"/>
    <n v="90000"/>
    <n v="157000"/>
    <n v="123500"/>
    <x v="6"/>
    <n v="35"/>
    <n v="0"/>
    <n v="0"/>
    <n v="0"/>
    <n v="1"/>
    <n v="1"/>
    <n v="1"/>
    <n v="0"/>
    <n v="0"/>
    <n v="0"/>
    <n v="0"/>
    <n v="0"/>
    <n v="1"/>
    <n v="0"/>
    <n v="0"/>
    <n v="1"/>
    <n v="0"/>
    <x v="2"/>
    <s v="intermediate"/>
    <s v="Masters"/>
  </r>
  <r>
    <n v="517"/>
    <s v="Lead Data Analyst"/>
    <n v="3.9"/>
    <s v="Signpost"/>
    <s v="New | NY"/>
    <s v="New York | NY"/>
    <s v="201 - 500"/>
    <n v="2010"/>
    <x v="0"/>
    <s v="Internet"/>
    <s v="Information Technology"/>
    <s v="25 million"/>
    <s v="Unknown"/>
    <n v="0"/>
    <n v="0"/>
    <n v="32000"/>
    <n v="62000"/>
    <n v="47000"/>
    <x v="4"/>
    <n v="13"/>
    <n v="0"/>
    <n v="1"/>
    <n v="0"/>
    <n v="0"/>
    <n v="1"/>
    <n v="0"/>
    <n v="0"/>
    <n v="0"/>
    <n v="0"/>
    <n v="0"/>
    <n v="0"/>
    <n v="0"/>
    <n v="0"/>
    <n v="0"/>
    <n v="0"/>
    <n v="0"/>
    <x v="2"/>
    <s v="Senior "/>
    <s v="Graduates"/>
  </r>
  <r>
    <n v="518"/>
    <s v="Analytics Manager - Data Mart"/>
    <n v="3.5"/>
    <s v="Central California Alliance for Health"/>
    <s v="Scotts | CA"/>
    <s v="Scotts Valley | CA"/>
    <s v="501 - 1000"/>
    <n v="1996"/>
    <x v="6"/>
    <s v="Health Care Services &amp; Hospitals"/>
    <s v="Health Care"/>
    <s v="750 million"/>
    <s v="Unknown"/>
    <n v="0"/>
    <n v="0"/>
    <n v="42000"/>
    <n v="86000"/>
    <n v="64000"/>
    <x v="6"/>
    <n v="27"/>
    <n v="0"/>
    <n v="0"/>
    <n v="0"/>
    <n v="0"/>
    <n v="1"/>
    <n v="0"/>
    <n v="0"/>
    <n v="0"/>
    <n v="0"/>
    <n v="0"/>
    <n v="0"/>
    <n v="1"/>
    <n v="0"/>
    <n v="0"/>
    <n v="0"/>
    <n v="0"/>
    <x v="6"/>
    <s v="intermediate"/>
    <s v="Graduates"/>
  </r>
  <r>
    <n v="519"/>
    <s v="Data Science Engineer - Mobile"/>
    <n v="4"/>
    <s v="Adobe"/>
    <s v="San | CA"/>
    <s v="San Jose | CA"/>
    <s v="10000+"/>
    <n v="1982"/>
    <x v="3"/>
    <s v="Computer Hardware &amp; Software"/>
    <s v="Information Technology"/>
    <s v="10 billion"/>
    <s v="Apple, Microsoft"/>
    <n v="0"/>
    <n v="0"/>
    <n v="116000"/>
    <n v="208000"/>
    <n v="162000"/>
    <x v="6"/>
    <n v="41"/>
    <n v="1"/>
    <n v="0"/>
    <n v="0"/>
    <n v="1"/>
    <n v="1"/>
    <n v="0"/>
    <n v="0"/>
    <n v="0"/>
    <n v="0"/>
    <n v="0"/>
    <n v="1"/>
    <n v="1"/>
    <n v="1"/>
    <n v="0"/>
    <n v="0"/>
    <n v="0"/>
    <x v="0"/>
    <s v="intermediate"/>
    <s v="Masters"/>
  </r>
  <r>
    <n v="520"/>
    <s v="Senior Data Scientist - R&amp;D Oncology"/>
    <n v="3.9"/>
    <s v="AstraZeneca"/>
    <s v="New | NY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02000"/>
    <n v="172000"/>
    <n v="137000"/>
    <x v="4"/>
    <n v="110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521"/>
    <s v="Sr. Data Engineer - Contract-to-Hire (Java)"/>
    <n v="3"/>
    <s v="Pilot Flying J Travel Centers LLC"/>
    <s v="Knoxville | TN"/>
    <s v="Knoxville | TN"/>
    <s v="10000+"/>
    <n v="1958"/>
    <x v="0"/>
    <s v="Gas Stations"/>
    <s v="Retail"/>
    <s v="10 billion "/>
    <s v="TravelCenters of America, Love's Travel Stops &amp; Country Stores, Wawa"/>
    <n v="0"/>
    <n v="0"/>
    <n v="69000"/>
    <n v="127000"/>
    <n v="98000"/>
    <x v="30"/>
    <n v="65"/>
    <n v="1"/>
    <n v="0"/>
    <n v="0"/>
    <n v="0"/>
    <n v="1"/>
    <n v="0"/>
    <n v="0"/>
    <n v="0"/>
    <n v="0"/>
    <n v="0"/>
    <n v="0"/>
    <n v="0"/>
    <n v="0"/>
    <n v="0"/>
    <n v="0"/>
    <n v="0"/>
    <x v="3"/>
    <s v="Senior "/>
    <s v="Masters"/>
  </r>
  <r>
    <n v="522"/>
    <s v="Data Scientist"/>
    <n v="3.7"/>
    <s v="Swiss Re"/>
    <s v="Armonk | NY"/>
    <s v="Zurich | Switzerland"/>
    <s v="10000+"/>
    <n v="1863"/>
    <x v="3"/>
    <s v="Insurance Agencies &amp; Brokerages"/>
    <s v="Insurance"/>
    <s v="10 billion "/>
    <s v="Munich Re, Hannover RE, SCOR"/>
    <n v="0"/>
    <n v="0"/>
    <n v="86000"/>
    <n v="144000"/>
    <n v="115000"/>
    <x v="4"/>
    <n v="160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Masters"/>
  </r>
  <r>
    <n v="523"/>
    <s v="Senior Data Scientist"/>
    <n v="3.5"/>
    <s v="Sartorius"/>
    <s v="Arvada | CO"/>
    <s v="Gottingen | Germany"/>
    <s v="5001 - 10000"/>
    <n v="1870"/>
    <x v="3"/>
    <s v="Biotech &amp; Pharmaceuticals"/>
    <s v="Biotech &amp; Pharmaceuticals"/>
    <s v="2 billion "/>
    <s v="Unknown"/>
    <n v="0"/>
    <n v="0"/>
    <n v="102000"/>
    <n v="165000"/>
    <n v="133500"/>
    <x v="10"/>
    <n v="153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524"/>
    <s v="Data Engineer"/>
    <n v="4"/>
    <s v="Pinnacol Assurance"/>
    <s v="Denver | CO"/>
    <s v="Denver | CO"/>
    <s v="501 - 1000"/>
    <n v="1915"/>
    <x v="6"/>
    <s v="Insurance Carriers"/>
    <s v="Insurance"/>
    <s v="750 million"/>
    <s v="Unknown"/>
    <n v="0"/>
    <n v="0"/>
    <n v="74000"/>
    <n v="124000"/>
    <n v="99000"/>
    <x v="10"/>
    <n v="108"/>
    <n v="1"/>
    <n v="0"/>
    <n v="1"/>
    <n v="0"/>
    <n v="1"/>
    <n v="0"/>
    <n v="0"/>
    <n v="0"/>
    <n v="0"/>
    <n v="0"/>
    <n v="0"/>
    <n v="0"/>
    <n v="0"/>
    <n v="0"/>
    <n v="0"/>
    <n v="0"/>
    <x v="3"/>
    <s v="intermediate"/>
    <s v="Masters"/>
  </r>
  <r>
    <n v="525"/>
    <s v="Food Scientist - Developer"/>
    <n v="3.3"/>
    <s v="Palermo's Pizza"/>
    <s v="Milwaukee | WI"/>
    <s v="Milwaukee | WI"/>
    <s v="501 - 1000"/>
    <n v="1964"/>
    <x v="0"/>
    <s v="Food &amp; Beverage Manufacturing"/>
    <s v="Manufacturing"/>
    <s v="Unknown / Non-Applicable"/>
    <s v="Unknown"/>
    <n v="0"/>
    <n v="0"/>
    <n v="40000"/>
    <n v="68000"/>
    <n v="54000"/>
    <x v="24"/>
    <n v="59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526"/>
    <s v="Senior Data Engineer"/>
    <n v="3.2"/>
    <s v="Equian LLC"/>
    <s v="Franklin | TN"/>
    <s v="Indianapolis | IN"/>
    <s v="1001 - 5000"/>
    <n v="2004"/>
    <x v="0"/>
    <s v="Health Care Services &amp; Hospitals"/>
    <s v="Health Care"/>
    <s v="Unknown / Non-Applicable"/>
    <s v="Unknown"/>
    <n v="0"/>
    <n v="0"/>
    <n v="76000"/>
    <n v="142000"/>
    <n v="109000"/>
    <x v="30"/>
    <n v="19"/>
    <n v="0"/>
    <n v="0"/>
    <n v="1"/>
    <n v="1"/>
    <n v="0"/>
    <n v="0"/>
    <n v="0"/>
    <n v="0"/>
    <n v="0"/>
    <n v="0"/>
    <n v="1"/>
    <n v="0"/>
    <n v="0"/>
    <n v="0"/>
    <n v="0"/>
    <n v="0"/>
    <x v="3"/>
    <s v="Senior "/>
    <s v="Graduates"/>
  </r>
  <r>
    <n v="527"/>
    <s v="Data Engineer"/>
    <n v="3.4"/>
    <s v="MetroStar Systems"/>
    <s v="Rockville | MD"/>
    <s v="Reston | VA"/>
    <s v="201 - 500"/>
    <n v="1999"/>
    <x v="0"/>
    <s v="IT Services"/>
    <s v="Information Technology"/>
    <s v="50 million "/>
    <s v="Unknown"/>
    <n v="0"/>
    <n v="0"/>
    <n v="76000"/>
    <n v="142000"/>
    <n v="109000"/>
    <x v="1"/>
    <n v="24"/>
    <n v="0"/>
    <n v="0"/>
    <n v="1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528"/>
    <s v="Senior Data Scientist"/>
    <n v="4.4000000000000004"/>
    <s v="MathWorks"/>
    <s v="Natick | MA"/>
    <s v="Natick | MA"/>
    <s v="1001 - 5000"/>
    <n v="1984"/>
    <x v="0"/>
    <s v="Computer Hardware &amp; Software"/>
    <s v="Information Technology"/>
    <s v="2 billion "/>
    <s v="Unknown"/>
    <n v="0"/>
    <n v="0"/>
    <n v="108000"/>
    <n v="171000"/>
    <n v="139500"/>
    <x v="8"/>
    <n v="39"/>
    <n v="1"/>
    <n v="0"/>
    <n v="0"/>
    <n v="0"/>
    <n v="1"/>
    <n v="0"/>
    <n v="0"/>
    <n v="0"/>
    <n v="0"/>
    <n v="0"/>
    <n v="0"/>
    <n v="1"/>
    <n v="1"/>
    <n v="0"/>
    <n v="0"/>
    <n v="0"/>
    <x v="0"/>
    <s v="Senior "/>
    <s v="Masters"/>
  </r>
  <r>
    <n v="529"/>
    <s v="Director II, Data Science - GRM Actuarial"/>
    <n v="3.3"/>
    <s v="Liberty Mutual Insurance"/>
    <s v="Chicago | IL"/>
    <s v="Boston | MA"/>
    <s v="10000+"/>
    <n v="1912"/>
    <x v="0"/>
    <s v="Insurance Carriers"/>
    <s v="Insurance"/>
    <s v="10 billion "/>
    <s v="Travelers, Allstate, State Farm"/>
    <n v="0"/>
    <n v="0"/>
    <n v="202000"/>
    <n v="306000"/>
    <n v="254000"/>
    <x v="11"/>
    <n v="111"/>
    <n v="1"/>
    <n v="0"/>
    <n v="0"/>
    <n v="0"/>
    <n v="0"/>
    <n v="1"/>
    <n v="0"/>
    <n v="0"/>
    <n v="0"/>
    <n v="0"/>
    <n v="0"/>
    <n v="0"/>
    <n v="0"/>
    <n v="0"/>
    <n v="0"/>
    <n v="0"/>
    <x v="0"/>
    <s v="intermediate"/>
    <s v="Masters"/>
  </r>
  <r>
    <n v="530"/>
    <s v="Machine Learning Engineer"/>
    <n v="3.2"/>
    <s v="Information Builders"/>
    <s v="New | NY"/>
    <s v="New York | NY"/>
    <s v="1001 - 5000"/>
    <n v="1975"/>
    <x v="0"/>
    <s v="Computer Hardware &amp; Software"/>
    <s v="Information Technology"/>
    <s v="Unknown / Non-Applicable"/>
    <s v="Qlik, Tableau Software, Informatica"/>
    <n v="0"/>
    <n v="0"/>
    <n v="91000"/>
    <n v="159000"/>
    <n v="125000"/>
    <x v="4"/>
    <n v="48"/>
    <n v="1"/>
    <n v="0"/>
    <n v="1"/>
    <n v="1"/>
    <n v="1"/>
    <n v="0"/>
    <n v="0"/>
    <n v="1"/>
    <n v="0"/>
    <n v="1"/>
    <n v="0"/>
    <n v="0"/>
    <n v="0"/>
    <n v="0"/>
    <n v="0"/>
    <n v="0"/>
    <x v="7"/>
    <s v="intermediate"/>
    <s v="Masters"/>
  </r>
  <r>
    <n v="531"/>
    <s v="Sr Expert Data Science, Advanced Visual Analytics (Associate level)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80000"/>
    <n v="133000"/>
    <n v="106500"/>
    <x v="8"/>
    <n v="27"/>
    <n v="1"/>
    <n v="0"/>
    <n v="0"/>
    <n v="0"/>
    <n v="1"/>
    <n v="1"/>
    <n v="0"/>
    <n v="0"/>
    <n v="0"/>
    <n v="0"/>
    <n v="0"/>
    <n v="1"/>
    <n v="1"/>
    <n v="0"/>
    <n v="0"/>
    <n v="0"/>
    <x v="0"/>
    <s v="Senior "/>
    <s v="Masters"/>
  </r>
  <r>
    <n v="532"/>
    <s v="Scientist, Molecular/Cellular Biologist"/>
    <n v="2.9"/>
    <s v="Audentes Therapeutics"/>
    <s v="South | CA"/>
    <s v="San Francisco | CA"/>
    <s v="201 - 500"/>
    <n v="2012"/>
    <x v="5"/>
    <s v="Biotech &amp; Pharmaceuticals"/>
    <s v="Biotech &amp; Pharmaceuticals"/>
    <s v="Unknown / Non-Applicable"/>
    <s v="BioMarin Pharmaceutical, Sangamo Therapeutics, bluebird bio"/>
    <n v="0"/>
    <n v="0"/>
    <n v="49000"/>
    <n v="97000"/>
    <n v="73000"/>
    <x v="6"/>
    <n v="11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533"/>
    <s v="Staff Scientist-Downstream Process Development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534"/>
    <s v="MED TECH/LAB SCIENTIST- SOUTH COASTAL LAB"/>
    <n v="3.6"/>
    <s v="Beebe Healthcare"/>
    <s v="Millville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535"/>
    <s v="Scientist - Analytical Service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65000"/>
    <n v="134000"/>
    <n v="99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536"/>
    <s v="Associate Data Analyst- Graduate Development Program"/>
    <n v="3.3"/>
    <s v="National Interstate"/>
    <s v="Richfield | OH"/>
    <s v="Richfield | OH"/>
    <s v="501 - 1000"/>
    <n v="1989"/>
    <x v="0"/>
    <s v="Insurance Carriers"/>
    <s v="Insurance"/>
    <s v="750 million"/>
    <s v="Unknown"/>
    <n v="0"/>
    <n v="0"/>
    <n v="32000"/>
    <n v="59000"/>
    <n v="45500"/>
    <x v="17"/>
    <n v="34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Graduates"/>
  </r>
  <r>
    <n v="537"/>
    <s v="IT Associate Data Analyst"/>
    <n v="3.7"/>
    <s v="The Hanover Insurance Group"/>
    <s v="Worcester | MA"/>
    <s v="Worcester | MA"/>
    <s v="5001 - 10000"/>
    <n v="1852"/>
    <x v="3"/>
    <s v="Insurance Carriers"/>
    <s v="Insurance"/>
    <s v="10 billion"/>
    <s v="Unknown"/>
    <n v="0"/>
    <n v="0"/>
    <n v="39000"/>
    <n v="69000"/>
    <n v="54000"/>
    <x v="8"/>
    <n v="171"/>
    <n v="0"/>
    <n v="0"/>
    <n v="0"/>
    <n v="0"/>
    <n v="1"/>
    <n v="0"/>
    <n v="0"/>
    <n v="0"/>
    <n v="0"/>
    <n v="0"/>
    <n v="0"/>
    <n v="0"/>
    <n v="0"/>
    <n v="0"/>
    <n v="0"/>
    <n v="0"/>
    <x v="2"/>
    <s v="intermediate"/>
    <s v="Graduates"/>
  </r>
  <r>
    <n v="538"/>
    <s v="Sr. Data Engineer"/>
    <n v="4.5"/>
    <s v="Moser Consulting"/>
    <s v="Indianapolis | IN"/>
    <s v="Indianapolis | IN"/>
    <s v="51 - 200"/>
    <n v="1996"/>
    <x v="0"/>
    <s v="Consulting"/>
    <s v="Business Services"/>
    <s v="50 million "/>
    <s v="Unknown"/>
    <n v="0"/>
    <n v="0"/>
    <n v="87000"/>
    <n v="158000"/>
    <n v="122500"/>
    <x v="22"/>
    <n v="27"/>
    <n v="1"/>
    <n v="1"/>
    <n v="1"/>
    <n v="0"/>
    <n v="1"/>
    <n v="0"/>
    <n v="0"/>
    <n v="0"/>
    <n v="0"/>
    <n v="0"/>
    <n v="1"/>
    <n v="0"/>
    <n v="0"/>
    <n v="0"/>
    <n v="1"/>
    <n v="0"/>
    <x v="3"/>
    <s v="Senior "/>
    <s v="Graduates"/>
  </r>
  <r>
    <n v="539"/>
    <s v="Clinical Data Analyst"/>
    <n v="3"/>
    <s v="Greenway Health"/>
    <s v="Tampa | FL"/>
    <s v="Tampa | FL"/>
    <s v="1001 - 5000"/>
    <n v="1977"/>
    <x v="5"/>
    <s v="Enterprise Software &amp; Network Solutions"/>
    <s v="Information Technology"/>
    <s v="500 million"/>
    <s v="eClinicalWorks, NextGen Healthcare, athenahealth"/>
    <n v="0"/>
    <n v="0"/>
    <n v="27000"/>
    <n v="48000"/>
    <n v="37500"/>
    <x v="2"/>
    <n v="46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Masters"/>
  </r>
  <r>
    <n v="540"/>
    <s v="Business Data Analyst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36000"/>
    <n v="71000"/>
    <n v="53500"/>
    <x v="4"/>
    <n v="21"/>
    <n v="1"/>
    <n v="0"/>
    <n v="0"/>
    <n v="1"/>
    <n v="1"/>
    <n v="0"/>
    <n v="0"/>
    <n v="0"/>
    <n v="0"/>
    <n v="0"/>
    <n v="0"/>
    <n v="0"/>
    <n v="1"/>
    <n v="0"/>
    <n v="0"/>
    <n v="1"/>
    <x v="2"/>
    <s v="intermediate"/>
    <s v="Masters"/>
  </r>
  <r>
    <n v="541"/>
    <s v="Senior Insurance Data Scientist"/>
    <n v="3.9"/>
    <s v="TransUnion"/>
    <s v="Chicago | IL"/>
    <s v="Chicago | IL"/>
    <s v="5001 - 10000"/>
    <n v="1968"/>
    <x v="3"/>
    <s v="Financial Analytics &amp; Research"/>
    <s v="Finance"/>
    <s v="2 billion "/>
    <s v="Unknown"/>
    <n v="0"/>
    <n v="0"/>
    <n v="107000"/>
    <n v="173000"/>
    <n v="140000"/>
    <x v="11"/>
    <n v="55"/>
    <n v="1"/>
    <n v="0"/>
    <n v="0"/>
    <n v="1"/>
    <n v="1"/>
    <n v="1"/>
    <n v="0"/>
    <n v="0"/>
    <n v="0"/>
    <n v="0"/>
    <n v="0"/>
    <n v="0"/>
    <n v="0"/>
    <n v="0"/>
    <n v="0"/>
    <n v="0"/>
    <x v="0"/>
    <s v="Senior "/>
    <s v="Graduates"/>
  </r>
  <r>
    <n v="542"/>
    <s v="Senior Data Science Systems Engineer"/>
    <n v="3.2"/>
    <s v="MITRE"/>
    <s v="Hampton | VA"/>
    <s v="Bedford | MA"/>
    <s v="5001 - 10000"/>
    <n v="1958"/>
    <x v="6"/>
    <s v="Federal Agencies"/>
    <s v="Government"/>
    <s v="2 billion "/>
    <s v="Battelle, General Atomics, SAIC"/>
    <n v="0"/>
    <n v="0"/>
    <n v="56000"/>
    <n v="99000"/>
    <n v="77500"/>
    <x v="7"/>
    <n v="65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543"/>
    <s v="ENVIRONMENTAL ENGINEER/SCIENTIST"/>
    <n v="3.3"/>
    <s v="Mcphail Associates"/>
    <s v="Cambridge | MA"/>
    <s v="Cambridge | MA"/>
    <n v="500"/>
    <n v="1976"/>
    <x v="0"/>
    <s v="Construction"/>
    <s v="Construction, Repair &amp; Maintenance"/>
    <s v="Unknown / Non-Applicable"/>
    <s v="Unknown"/>
    <n v="1"/>
    <n v="1"/>
    <n v="52000"/>
    <n v="58000"/>
    <n v="55000"/>
    <x v="8"/>
    <n v="47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544"/>
    <s v="Senior Scientist - Regulatory Submission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80000"/>
    <n v="155000"/>
    <n v="117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545"/>
    <s v="Scientist - Biomarker and Flow Cytometry"/>
    <n v="2.4"/>
    <s v="Crown Bioscience"/>
    <s v="San | CA"/>
    <s v="San Diego | CA"/>
    <s v="501 - 1000"/>
    <n v="2006"/>
    <x v="0"/>
    <s v="Biotech &amp; Pharmaceuticals"/>
    <s v="Biotech &amp; Pharmaceuticals"/>
    <s v="100 million "/>
    <s v="Unknown"/>
    <n v="0"/>
    <n v="0"/>
    <n v="43000"/>
    <n v="98000"/>
    <n v="70500"/>
    <x v="6"/>
    <n v="1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546"/>
    <s v="Associate Scientist, LC/MS Biologics"/>
    <n v="2.9"/>
    <s v="Q2 Solutions"/>
    <s v="Ithaca | NY"/>
    <s v="Morrisville | NC"/>
    <s v="1001 - 5000"/>
    <n v="2015"/>
    <x v="0"/>
    <s v="Biotech &amp; Pharmaceuticals"/>
    <s v="Biotech &amp; Pharmaceuticals"/>
    <s v="Unknown / Non-Applicable"/>
    <s v="Unknown"/>
    <n v="0"/>
    <n v="0"/>
    <n v="44000"/>
    <n v="96000"/>
    <n v="70000"/>
    <x v="4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547"/>
    <s v="Revenue Analytics Manager"/>
    <n v="4.8"/>
    <s v="HOVER"/>
    <s v="San | CA"/>
    <s v="San Francisco | CA"/>
    <s v="51 - 200"/>
    <n v="2011"/>
    <x v="0"/>
    <s v="Computer Hardware &amp; Software"/>
    <s v="Information Technology"/>
    <s v="50 million "/>
    <s v="Unknown"/>
    <n v="0"/>
    <n v="0"/>
    <n v="45000"/>
    <n v="78000"/>
    <n v="61500"/>
    <x v="6"/>
    <n v="12"/>
    <n v="0"/>
    <n v="0"/>
    <n v="0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548"/>
    <s v="Sr. Scientist Method Development"/>
    <n v="2.9"/>
    <s v="Q2 Solutions"/>
    <s v="Marietta | GA"/>
    <s v="Morrisville | NC"/>
    <s v="1001 - 5000"/>
    <n v="2015"/>
    <x v="0"/>
    <s v="Biotech &amp; Pharmaceuticals"/>
    <s v="Biotech &amp; Pharmaceuticals"/>
    <s v="Unknown / Non-Applicable"/>
    <s v="Unknown"/>
    <n v="0"/>
    <n v="0"/>
    <n v="50000"/>
    <n v="110000"/>
    <n v="80000"/>
    <x v="21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Graduates"/>
  </r>
  <r>
    <n v="549"/>
    <s v="Data Scientist"/>
    <n v="4.7"/>
    <s v="Oversight Systems"/>
    <s v="Atlanta | GA"/>
    <s v="Atlanta | GA"/>
    <s v="51 - 200"/>
    <n v="2003"/>
    <x v="0"/>
    <s v="Computer Hardware &amp; Software"/>
    <s v="Information Technology"/>
    <s v="50 million "/>
    <s v="Unknown"/>
    <n v="0"/>
    <n v="0"/>
    <n v="60000"/>
    <n v="99000"/>
    <n v="79500"/>
    <x v="21"/>
    <n v="20"/>
    <n v="1"/>
    <n v="0"/>
    <n v="0"/>
    <n v="1"/>
    <n v="1"/>
    <n v="0"/>
    <n v="1"/>
    <n v="1"/>
    <n v="1"/>
    <n v="0"/>
    <n v="0"/>
    <n v="0"/>
    <n v="0"/>
    <n v="0"/>
    <n v="0"/>
    <n v="0"/>
    <x v="0"/>
    <s v="intermediate"/>
    <s v="Graduates"/>
  </r>
  <r>
    <n v="550"/>
    <s v="Data Scientist - Sales"/>
    <n v="4.7"/>
    <s v="Confluent"/>
    <s v="Mountain | CA"/>
    <s v="Mountain View | CA"/>
    <s v="501 - 1000"/>
    <n v="2014"/>
    <x v="0"/>
    <s v="Computer Hardware &amp; Software"/>
    <s v="Information Technology"/>
    <s v="500 million"/>
    <s v="Unknown"/>
    <n v="0"/>
    <n v="0"/>
    <n v="130000"/>
    <n v="206000"/>
    <n v="168000"/>
    <x v="6"/>
    <n v="9"/>
    <n v="1"/>
    <n v="0"/>
    <n v="0"/>
    <n v="1"/>
    <n v="1"/>
    <n v="0"/>
    <n v="0"/>
    <n v="0"/>
    <n v="0"/>
    <n v="0"/>
    <n v="0"/>
    <n v="1"/>
    <n v="0"/>
    <n v="0"/>
    <n v="0"/>
    <n v="0"/>
    <x v="0"/>
    <s v="intermediate"/>
    <s v="Graduates"/>
  </r>
  <r>
    <n v="551"/>
    <s v="IT - Data Engineer II"/>
    <n v="3.4"/>
    <s v="Arbella Insurance"/>
    <s v="Quincy | MA"/>
    <s v="Quincy | MA"/>
    <s v="1001 - 5000"/>
    <n v="1988"/>
    <x v="0"/>
    <s v="Insurance Carriers"/>
    <s v="Insurance"/>
    <s v="500 million"/>
    <s v="Unknown"/>
    <n v="0"/>
    <n v="0"/>
    <n v="61000"/>
    <n v="119000"/>
    <n v="90000"/>
    <x v="8"/>
    <n v="35"/>
    <n v="0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552"/>
    <s v="Research Scientist, Immunology - Cancer Biology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00000"/>
    <n v="140000"/>
    <n v="1200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553"/>
    <s v="Senior Data Analyst"/>
    <n v="3.9"/>
    <s v="Life360"/>
    <s v="San | CA"/>
    <s v="San Francisco | CA"/>
    <s v="51 - 200"/>
    <n v="2008"/>
    <x v="3"/>
    <s v="Computer Hardware &amp; Software"/>
    <s v="Information Technology"/>
    <s v="Unknown / Non-Applicable"/>
    <s v="Unknown"/>
    <n v="0"/>
    <n v="0"/>
    <n v="99000"/>
    <n v="178000"/>
    <n v="138500"/>
    <x v="6"/>
    <n v="15"/>
    <n v="1"/>
    <n v="0"/>
    <n v="0"/>
    <n v="0"/>
    <n v="1"/>
    <n v="0"/>
    <n v="0"/>
    <n v="0"/>
    <n v="0"/>
    <n v="0"/>
    <n v="0"/>
    <n v="1"/>
    <n v="0"/>
    <n v="0"/>
    <n v="0"/>
    <n v="0"/>
    <x v="2"/>
    <s v="Senior "/>
    <s v="Graduates"/>
  </r>
  <r>
    <n v="554"/>
    <s v="Principal, Data Science - Advanced Analytics"/>
    <n v="3.6"/>
    <s v="IQVIA"/>
    <s v="Plymouth | PA"/>
    <s v="Durham | NC"/>
    <s v="10000+"/>
    <n v="2017"/>
    <x v="3"/>
    <s v="Biotech &amp; Pharmaceuticals"/>
    <s v="Biotech &amp; Pharmaceuticals"/>
    <s v="5 billion "/>
    <s v="PPD, INC Research, PRA Health Sciences"/>
    <n v="0"/>
    <n v="0"/>
    <n v="86000"/>
    <n v="137000"/>
    <n v="111500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555"/>
    <s v="Data Science Project Manager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37000"/>
    <n v="100000"/>
    <n v="68500"/>
    <x v="8"/>
    <n v="172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556"/>
    <s v="Sr Scientist, Immuno-Oncology - Oncology"/>
    <n v="3.9"/>
    <s v="GSK"/>
    <s v="Cambridge | MA"/>
    <s v="Brentford | United Kingdom"/>
    <s v="10000+"/>
    <n v="1830"/>
    <x v="3"/>
    <s v="Biotech &amp; Pharmaceuticals"/>
    <s v="Biotech &amp; Pharmaceuticals"/>
    <s v="10 billion "/>
    <s v="Pfizer, AstraZeneca, Merck"/>
    <n v="0"/>
    <n v="0"/>
    <n v="58000"/>
    <n v="111000"/>
    <n v="84500"/>
    <x v="8"/>
    <n v="193"/>
    <n v="0"/>
    <n v="0"/>
    <n v="1"/>
    <n v="0"/>
    <n v="0"/>
    <n v="0"/>
    <n v="0"/>
    <n v="0"/>
    <n v="0"/>
    <n v="0"/>
    <n v="0"/>
    <n v="0"/>
    <n v="0"/>
    <n v="0"/>
    <n v="0"/>
    <n v="0"/>
    <x v="1"/>
    <s v="Senior "/>
    <s v="Masters"/>
  </r>
  <r>
    <n v="557"/>
    <s v="Senior Data Engineer"/>
    <n v="4.4000000000000004"/>
    <s v="Eventbrite"/>
    <s v="Nashville | TN"/>
    <s v="San Francisco | CA"/>
    <s v="1001 - 5000"/>
    <n v="2006"/>
    <x v="3"/>
    <s v="Internet"/>
    <s v="Information Technology"/>
    <s v="500 million"/>
    <s v="See Tickets, TicketWeb, Vendini"/>
    <n v="0"/>
    <n v="0"/>
    <n v="72000"/>
    <n v="133000"/>
    <n v="102500"/>
    <x v="30"/>
    <n v="17"/>
    <n v="1"/>
    <n v="1"/>
    <n v="1"/>
    <n v="0"/>
    <n v="1"/>
    <n v="0"/>
    <n v="0"/>
    <n v="0"/>
    <n v="0"/>
    <n v="0"/>
    <n v="1"/>
    <n v="0"/>
    <n v="0"/>
    <n v="0"/>
    <n v="0"/>
    <n v="0"/>
    <x v="3"/>
    <s v="Senior "/>
    <s v="Graduates"/>
  </r>
  <r>
    <n v="558"/>
    <s v="Project Scientist - Auton Lab, Robotics Institute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56000"/>
    <n v="91000"/>
    <n v="73500"/>
    <x v="20"/>
    <n v="39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559"/>
    <s v="Research Scientist – Security and Privacy"/>
    <n v="3.6"/>
    <s v="Riverside Research Institute"/>
    <s v="Beavercreek | OH"/>
    <s v="Arlington | VA"/>
    <s v="501 - 1000"/>
    <n v="1967"/>
    <x v="6"/>
    <s v="Federal Agencies"/>
    <s v="Government"/>
    <s v="100 million "/>
    <s v="Unknown"/>
    <n v="0"/>
    <n v="0"/>
    <n v="61000"/>
    <n v="126000"/>
    <n v="93500"/>
    <x v="17"/>
    <n v="56"/>
    <n v="1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560"/>
    <s v="Data Science Manager"/>
    <n v="3.2"/>
    <s v="Numeric, LLC"/>
    <s v="Allentown | PA"/>
    <s v="Chadds Ford | PA"/>
    <n v="500"/>
    <s v="Unknown"/>
    <x v="0"/>
    <s v="Staffing &amp; Outsourcing"/>
    <s v="Business Services"/>
    <s v="10 million "/>
    <s v="Unknown"/>
    <n v="0"/>
    <n v="0"/>
    <n v="95000"/>
    <n v="160000"/>
    <n v="127500"/>
    <x v="20"/>
    <s v="Unknown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561"/>
    <s v="Data Analyst 2 (Missionary Department)"/>
    <n v="4.2"/>
    <s v="The Church of Jesus Christ of Latter-day Saints"/>
    <s v="Salt | UT"/>
    <s v="Salt Lake City | UT"/>
    <s v="10000+"/>
    <s v="Unknown"/>
    <x v="6"/>
    <s v="Religious Organizations"/>
    <s v="Non-Profit"/>
    <s v="Unknown / Non-Applicable"/>
    <s v="Unknown"/>
    <n v="0"/>
    <n v="0"/>
    <n v="53000"/>
    <n v="91000"/>
    <n v="72000"/>
    <x v="29"/>
    <s v="Unknown"/>
    <n v="0"/>
    <n v="0"/>
    <n v="0"/>
    <n v="0"/>
    <n v="1"/>
    <n v="0"/>
    <n v="0"/>
    <n v="0"/>
    <n v="0"/>
    <n v="0"/>
    <n v="0"/>
    <n v="1"/>
    <n v="0"/>
    <n v="0"/>
    <n v="0"/>
    <n v="0"/>
    <x v="2"/>
    <s v="intermediate"/>
    <s v="Graduates"/>
  </r>
  <r>
    <n v="562"/>
    <s v="Enterprise Architect, Data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101000"/>
    <n v="158000"/>
    <n v="129500"/>
    <x v="8"/>
    <n v="172"/>
    <n v="1"/>
    <n v="1"/>
    <n v="1"/>
    <n v="1"/>
    <n v="1"/>
    <n v="0"/>
    <n v="0"/>
    <n v="0"/>
    <n v="0"/>
    <n v="0"/>
    <n v="1"/>
    <n v="1"/>
    <n v="1"/>
    <n v="0"/>
    <n v="0"/>
    <n v="0"/>
    <x v="1"/>
    <s v="intermediate"/>
    <s v="Graduates"/>
  </r>
  <r>
    <n v="563"/>
    <s v="Supply Chain Data Analyst"/>
    <n v="3.1"/>
    <s v="Icon Health and Fitness"/>
    <s v="Logan | UT"/>
    <s v="Logan | UT"/>
    <s v="1001 - 5000"/>
    <n v="1977"/>
    <x v="0"/>
    <s v="Consumer Products Manufacturing"/>
    <s v="Manufacturing"/>
    <s v="750 million"/>
    <s v="Life Fitness, Brooks Running, Under Armour"/>
    <n v="0"/>
    <n v="0"/>
    <n v="33000"/>
    <n v="61000"/>
    <n v="47000"/>
    <x v="29"/>
    <n v="46"/>
    <n v="1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Graduates"/>
  </r>
  <r>
    <n v="564"/>
    <s v="Data Engineer - ETL"/>
    <n v="3.8"/>
    <s v="Shipt"/>
    <s v="Birmingham | AL"/>
    <s v="Birmingham | AL"/>
    <s v="501 - 1000"/>
    <n v="2014"/>
    <x v="5"/>
    <s v="Consumer Product Rental"/>
    <s v="Consumer Services"/>
    <s v="Unknown / Non-Applicable"/>
    <s v="Unknown"/>
    <n v="0"/>
    <n v="0"/>
    <n v="44000"/>
    <n v="86000"/>
    <n v="65000"/>
    <x v="18"/>
    <n v="9"/>
    <n v="1"/>
    <n v="1"/>
    <n v="1"/>
    <n v="1"/>
    <n v="1"/>
    <n v="0"/>
    <n v="0"/>
    <n v="0"/>
    <n v="0"/>
    <n v="0"/>
    <n v="0"/>
    <n v="0"/>
    <n v="0"/>
    <n v="0"/>
    <n v="0"/>
    <n v="0"/>
    <x v="3"/>
    <s v="intermediate"/>
    <s v="Graduates"/>
  </r>
  <r>
    <n v="565"/>
    <s v="Corporate Risk Data Analyst (sql_ Based) - Milwaukee or"/>
    <n v="3.8"/>
    <s v="Associated Banc-Corp"/>
    <s v="Green | WI"/>
    <s v="Green Bay | WI"/>
    <s v="1001 - 5000"/>
    <n v="1870"/>
    <x v="3"/>
    <s v="Banks &amp; Credit Unions"/>
    <s v="Finance"/>
    <s v="2 billion "/>
    <s v="Wells Fargo, BMO Harris Bank, U.S. Bank"/>
    <n v="0"/>
    <n v="0"/>
    <n v="43000"/>
    <n v="77000"/>
    <n v="60000"/>
    <x v="24"/>
    <n v="153"/>
    <n v="0"/>
    <n v="0"/>
    <n v="1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566"/>
    <s v="Senior Manager, Epidemiologic Data Scientist"/>
    <n v="4"/>
    <s v="Pfizer"/>
    <s v="New | NY"/>
    <s v="New York | NY"/>
    <s v="10000+"/>
    <n v="1849"/>
    <x v="3"/>
    <s v="Biotech &amp; Pharmaceuticals"/>
    <s v="Biotech &amp; Pharmaceuticals"/>
    <s v="10 billion "/>
    <s v="Unknown"/>
    <n v="0"/>
    <n v="0"/>
    <n v="125000"/>
    <n v="210000"/>
    <n v="167500"/>
    <x v="4"/>
    <n v="174"/>
    <n v="0"/>
    <n v="0"/>
    <n v="1"/>
    <n v="1"/>
    <n v="0"/>
    <n v="0"/>
    <n v="0"/>
    <n v="0"/>
    <n v="0"/>
    <n v="0"/>
    <n v="0"/>
    <n v="0"/>
    <n v="0"/>
    <n v="0"/>
    <n v="0"/>
    <n v="0"/>
    <x v="0"/>
    <s v="Senior "/>
    <s v="Masters"/>
  </r>
  <r>
    <n v="567"/>
    <s v="Marketing Data Analyst, May 2020 Undergrad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44000"/>
    <n v="86000"/>
    <n v="65000"/>
    <x v="4"/>
    <n v="21"/>
    <n v="0"/>
    <n v="0"/>
    <n v="0"/>
    <n v="1"/>
    <n v="1"/>
    <n v="1"/>
    <n v="0"/>
    <n v="0"/>
    <n v="0"/>
    <n v="0"/>
    <n v="0"/>
    <n v="0"/>
    <n v="0"/>
    <n v="0"/>
    <n v="0"/>
    <n v="0"/>
    <x v="2"/>
    <s v="intermediate"/>
    <s v="Graduates"/>
  </r>
  <r>
    <n v="568"/>
    <s v="Senior Data Analyst"/>
    <n v="4"/>
    <s v="Novetta"/>
    <s v="Herndon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69000"/>
    <n v="119000"/>
    <n v="94000"/>
    <x v="7"/>
    <n v="11"/>
    <n v="1"/>
    <n v="0"/>
    <n v="0"/>
    <n v="0"/>
    <n v="1"/>
    <n v="0"/>
    <n v="0"/>
    <n v="0"/>
    <n v="0"/>
    <n v="0"/>
    <n v="0"/>
    <n v="0"/>
    <n v="0"/>
    <n v="0"/>
    <n v="0"/>
    <n v="0"/>
    <x v="2"/>
    <s v="Senior "/>
    <s v="Graduates"/>
  </r>
  <r>
    <n v="569"/>
    <s v="Senior Data Analyst"/>
    <n v="1.9"/>
    <s v="Moda Operandi"/>
    <s v="New | NY"/>
    <s v="New York | NY"/>
    <s v="201 - 500"/>
    <n v="2010"/>
    <x v="0"/>
    <s v="Department, Clothing, &amp; Shoe Stores"/>
    <s v="Retail"/>
    <s v="500 million"/>
    <s v="YOOX NET-A-PORTER GROUP, Farfetch, MATCHESFASHION"/>
    <n v="0"/>
    <n v="0"/>
    <n v="65000"/>
    <n v="110000"/>
    <n v="87500"/>
    <x v="4"/>
    <n v="13"/>
    <n v="1"/>
    <n v="0"/>
    <n v="0"/>
    <n v="1"/>
    <n v="1"/>
    <n v="0"/>
    <n v="0"/>
    <n v="0"/>
    <n v="0"/>
    <n v="0"/>
    <n v="0"/>
    <n v="0"/>
    <n v="0"/>
    <n v="0"/>
    <n v="0"/>
    <n v="1"/>
    <x v="2"/>
    <s v="Senior "/>
    <s v="Graduates"/>
  </r>
  <r>
    <n v="570"/>
    <s v="Senior Data Engineer"/>
    <n v="4"/>
    <s v="Novetta"/>
    <s v="Reston | VA"/>
    <s v="Mc Lean | VA"/>
    <s v="501 - 1000"/>
    <n v="2012"/>
    <x v="0"/>
    <s v="Enterprise Software &amp; Network Solutions"/>
    <s v="Information Technology"/>
    <s v="500 million"/>
    <s v="Leidos, CACI International, Booz Allen Hamilton"/>
    <n v="0"/>
    <n v="0"/>
    <n v="67000"/>
    <n v="127000"/>
    <n v="97000"/>
    <x v="7"/>
    <n v="11"/>
    <n v="1"/>
    <n v="1"/>
    <n v="1"/>
    <n v="0"/>
    <n v="1"/>
    <n v="0"/>
    <n v="0"/>
    <n v="0"/>
    <n v="0"/>
    <n v="0"/>
    <n v="1"/>
    <n v="0"/>
    <n v="0"/>
    <n v="1"/>
    <n v="0"/>
    <n v="0"/>
    <x v="3"/>
    <s v="Senior "/>
    <s v="Graduates"/>
  </r>
  <r>
    <n v="571"/>
    <s v="Senior Data Engineer"/>
    <n v="4.3"/>
    <s v="Genesys"/>
    <s v="Durham | NC"/>
    <s v="Daly City | CA"/>
    <s v="5001 - 10000"/>
    <n v="1990"/>
    <x v="0"/>
    <s v="Computer Hardware &amp; Software"/>
    <s v="Information Technology"/>
    <s v="2 billion "/>
    <s v="Avaya, Five9, Salesforce"/>
    <n v="0"/>
    <n v="0"/>
    <n v="78000"/>
    <n v="147000"/>
    <n v="112500"/>
    <x v="25"/>
    <n v="33"/>
    <n v="1"/>
    <n v="1"/>
    <n v="1"/>
    <n v="0"/>
    <n v="0"/>
    <n v="0"/>
    <n v="0"/>
    <n v="0"/>
    <n v="0"/>
    <n v="0"/>
    <n v="1"/>
    <n v="0"/>
    <n v="0"/>
    <n v="1"/>
    <n v="0"/>
    <n v="0"/>
    <x v="3"/>
    <s v="Senior "/>
    <s v="Graduates"/>
  </r>
  <r>
    <n v="572"/>
    <s v="Data Modeler (Analytical Systems)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66000"/>
    <n v="117000"/>
    <n v="91500"/>
    <x v="8"/>
    <n v="172"/>
    <n v="0"/>
    <n v="1"/>
    <n v="1"/>
    <n v="1"/>
    <n v="1"/>
    <n v="0"/>
    <n v="0"/>
    <n v="0"/>
    <n v="0"/>
    <n v="0"/>
    <n v="1"/>
    <n v="0"/>
    <n v="0"/>
    <n v="0"/>
    <n v="0"/>
    <n v="0"/>
    <x v="5"/>
    <s v="intermediate"/>
    <s v="Graduates"/>
  </r>
  <r>
    <n v="573"/>
    <s v="Data Modeler - Data Solutions Engineer"/>
    <n v="3.3"/>
    <s v="Liberty Mutual Insurance"/>
    <s v="Indianapolis | IN"/>
    <s v="Boston | MA"/>
    <s v="10000+"/>
    <n v="1912"/>
    <x v="0"/>
    <s v="Insurance Carriers"/>
    <s v="Insurance"/>
    <s v="10 billion "/>
    <s v="Travelers, Allstate, State Farm"/>
    <n v="0"/>
    <n v="0"/>
    <n v="37000"/>
    <n v="66000"/>
    <n v="51500"/>
    <x v="22"/>
    <n v="111"/>
    <n v="1"/>
    <n v="0"/>
    <n v="0"/>
    <n v="1"/>
    <n v="1"/>
    <n v="0"/>
    <n v="0"/>
    <n v="0"/>
    <n v="0"/>
    <n v="0"/>
    <n v="0"/>
    <n v="0"/>
    <n v="1"/>
    <n v="0"/>
    <n v="0"/>
    <n v="0"/>
    <x v="5"/>
    <s v="intermediate"/>
    <s v="Masters"/>
  </r>
  <r>
    <n v="574"/>
    <s v="Data Scientist in Translational Medicine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86000"/>
    <n v="143000"/>
    <n v="114500"/>
    <x v="8"/>
    <n v="27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575"/>
    <s v="Data Scientist"/>
    <n v="4.3"/>
    <s v="USEReady"/>
    <s v="New | NY"/>
    <s v="New York | NY"/>
    <s v="201 - 500"/>
    <n v="2011"/>
    <x v="0"/>
    <s v="Consulting"/>
    <s v="Business Services"/>
    <s v="25 million"/>
    <s v="Unknown"/>
    <n v="0"/>
    <n v="0"/>
    <n v="84000"/>
    <n v="146000"/>
    <n v="115000"/>
    <x v="4"/>
    <n v="12"/>
    <n v="1"/>
    <n v="1"/>
    <n v="1"/>
    <n v="0"/>
    <n v="1"/>
    <n v="0"/>
    <n v="0"/>
    <n v="0"/>
    <n v="0"/>
    <n v="0"/>
    <n v="1"/>
    <n v="1"/>
    <n v="0"/>
    <n v="0"/>
    <n v="0"/>
    <n v="0"/>
    <x v="0"/>
    <s v="intermediate"/>
    <s v="Graduates"/>
  </r>
  <r>
    <n v="576"/>
    <s v="Product Manager/Data Evangelist"/>
    <n v="3.2"/>
    <s v="Numeric, LLC"/>
    <s v="Phila | PA"/>
    <s v="Chadds Ford | PA"/>
    <n v="500"/>
    <s v="Unknown"/>
    <x v="0"/>
    <s v="Staffing &amp; Outsourcing"/>
    <s v="Business Services"/>
    <s v="10 million "/>
    <s v="Unknown"/>
    <n v="0"/>
    <n v="0"/>
    <n v="50000"/>
    <n v="98000"/>
    <n v="74000"/>
    <x v="20"/>
    <s v="Unknown"/>
    <n v="1"/>
    <n v="0"/>
    <n v="1"/>
    <n v="0"/>
    <n v="1"/>
    <n v="0"/>
    <n v="0"/>
    <n v="0"/>
    <n v="0"/>
    <n v="0"/>
    <n v="0"/>
    <n v="0"/>
    <n v="0"/>
    <n v="0"/>
    <n v="0"/>
    <n v="0"/>
    <x v="6"/>
    <s v="intermediate"/>
    <s v="Masters"/>
  </r>
  <r>
    <n v="577"/>
    <s v="Associate Environmental Scientist - Wildlife Biologist"/>
    <n v="4.7"/>
    <s v="QK"/>
    <s v="Clovis | CA"/>
    <s v="Visalia | CA"/>
    <s v="51 - 200"/>
    <n v="1972"/>
    <x v="0"/>
    <s v="Architectural &amp; Engineering Services"/>
    <s v="Business Services"/>
    <s v="25 million"/>
    <s v="Unknown"/>
    <n v="0"/>
    <n v="0"/>
    <n v="38000"/>
    <n v="64000"/>
    <n v="51000"/>
    <x v="6"/>
    <n v="51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578"/>
    <s v="Sr Data Engineer (Sr BI Developer)"/>
    <n v="3.4"/>
    <s v="Tivity Health"/>
    <s v="Chandler | AZ"/>
    <s v="Franklin | TN"/>
    <s v="501 - 1000"/>
    <n v="1981"/>
    <x v="3"/>
    <s v="Health Care Services &amp; Hospitals"/>
    <s v="Health Care"/>
    <s v="Unknown / Non-Applicable"/>
    <s v="Unknown"/>
    <n v="0"/>
    <n v="0"/>
    <n v="90000"/>
    <n v="110000"/>
    <n v="100000"/>
    <x v="26"/>
    <n v="42"/>
    <n v="0"/>
    <n v="0"/>
    <n v="0"/>
    <n v="0"/>
    <n v="1"/>
    <n v="0"/>
    <n v="0"/>
    <n v="0"/>
    <n v="0"/>
    <n v="0"/>
    <n v="1"/>
    <n v="0"/>
    <n v="0"/>
    <n v="0"/>
    <n v="0"/>
    <n v="0"/>
    <x v="3"/>
    <s v="Senior "/>
    <s v="Graduates"/>
  </r>
  <r>
    <n v="579"/>
    <s v="Senior Data Scientist – Visualization, Novartis AI Innovation Lab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92000"/>
    <n v="150000"/>
    <n v="121000"/>
    <x v="8"/>
    <n v="27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Graduates"/>
  </r>
  <r>
    <n v="580"/>
    <s v="Senior Data Analyst/Scientist"/>
    <n v="4.5"/>
    <s v="Demandbase"/>
    <s v="San | CA"/>
    <s v="San Francisco | CA"/>
    <s v="201 - 500"/>
    <n v="2006"/>
    <x v="0"/>
    <s v="Computer Hardware &amp; Software"/>
    <s v="Information Technology"/>
    <s v="500 million"/>
    <s v="Engagio, Bombora, Terminus"/>
    <n v="0"/>
    <n v="0"/>
    <n v="90000"/>
    <n v="153000"/>
    <n v="121500"/>
    <x v="6"/>
    <n v="17"/>
    <n v="0"/>
    <n v="0"/>
    <n v="0"/>
    <n v="0"/>
    <n v="1"/>
    <n v="0"/>
    <n v="0"/>
    <n v="0"/>
    <n v="0"/>
    <n v="0"/>
    <n v="0"/>
    <n v="1"/>
    <n v="1"/>
    <n v="0"/>
    <n v="0"/>
    <n v="0"/>
    <x v="2"/>
    <s v="Senior "/>
    <s v="Graduates"/>
  </r>
  <r>
    <n v="581"/>
    <s v="Associate, Data Science, Internal Audit"/>
    <n v="3.1"/>
    <s v="Santander"/>
    <s v="Boston | MA"/>
    <s v="Madrid | Spain"/>
    <s v="10000+"/>
    <n v="1856"/>
    <x v="0"/>
    <s v="Banks &amp; Credit Unions"/>
    <s v="Finance"/>
    <s v="10 billion "/>
    <s v="Unknown"/>
    <n v="0"/>
    <n v="0"/>
    <n v="43000"/>
    <n v="82000"/>
    <n v="62500"/>
    <x v="8"/>
    <n v="167"/>
    <n v="1"/>
    <n v="0"/>
    <n v="0"/>
    <n v="1"/>
    <n v="1"/>
    <n v="1"/>
    <n v="0"/>
    <n v="0"/>
    <n v="0"/>
    <n v="0"/>
    <n v="0"/>
    <n v="0"/>
    <n v="0"/>
    <n v="0"/>
    <n v="0"/>
    <n v="0"/>
    <x v="0"/>
    <s v="intermediate"/>
    <s v="Masters"/>
  </r>
  <r>
    <n v="582"/>
    <s v="Scientist – Cancer Discovery, Molecular Assay"/>
    <n v="0"/>
    <s v="Monte Rosa Therapeutic"/>
    <s v="Cambridge | MA"/>
    <s v="Cambridge | MA"/>
    <n v="500"/>
    <s v="Unknown"/>
    <x v="1"/>
    <s v="Unknown"/>
    <s v="Unknown"/>
    <s v="Unknown / Non-Applicable"/>
    <s v="Unknown"/>
    <n v="0"/>
    <n v="1"/>
    <n v="100000"/>
    <n v="135000"/>
    <n v="1175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583"/>
    <s v="Senior LiDAR Data Scientist"/>
    <n v="3.9"/>
    <s v="Luminar Technologies"/>
    <s v="Orlando | FL"/>
    <s v="Orlando | FL"/>
    <s v="201 - 500"/>
    <n v="2012"/>
    <x v="0"/>
    <s v="Computer Hardware &amp; Software"/>
    <s v="Information Technology"/>
    <s v="Unknown / Non-Applicable"/>
    <s v="Unknown"/>
    <n v="0"/>
    <n v="0"/>
    <n v="93000"/>
    <n v="151000"/>
    <n v="122000"/>
    <x v="2"/>
    <n v="11"/>
    <n v="1"/>
    <n v="0"/>
    <n v="1"/>
    <n v="0"/>
    <n v="0"/>
    <n v="0"/>
    <n v="0"/>
    <n v="0"/>
    <n v="0"/>
    <n v="0"/>
    <n v="0"/>
    <n v="0"/>
    <n v="0"/>
    <n v="0"/>
    <n v="0"/>
    <n v="0"/>
    <x v="0"/>
    <s v="Senior "/>
    <s v="Masters"/>
  </r>
  <r>
    <n v="584"/>
    <s v="Data Engineer"/>
    <n v="4.4000000000000004"/>
    <s v="BRMi"/>
    <s v="Chantilly | VA"/>
    <s v="Washington | DC"/>
    <s v="51 - 200"/>
    <n v="2004"/>
    <x v="0"/>
    <s v="IT Services"/>
    <s v="Information Technology"/>
    <s v="Unknown / Non-Applicable"/>
    <s v="Unknown"/>
    <n v="0"/>
    <n v="0"/>
    <n v="61000"/>
    <n v="109000"/>
    <n v="85000"/>
    <x v="7"/>
    <n v="19"/>
    <n v="1"/>
    <n v="1"/>
    <n v="1"/>
    <n v="0"/>
    <n v="0"/>
    <n v="0"/>
    <n v="0"/>
    <n v="0"/>
    <n v="0"/>
    <n v="0"/>
    <n v="1"/>
    <n v="0"/>
    <n v="0"/>
    <n v="0"/>
    <n v="0"/>
    <n v="0"/>
    <x v="3"/>
    <s v="intermediate"/>
    <s v="Graduates"/>
  </r>
  <r>
    <n v="585"/>
    <s v="Data Engineer"/>
    <n v="3.4"/>
    <s v="IntraEdge"/>
    <s v="Scottsdale | AZ"/>
    <s v="Chandler | AZ"/>
    <s v="501 - 1000"/>
    <n v="2002"/>
    <x v="0"/>
    <s v="IT Services"/>
    <s v="Information Technology"/>
    <s v="100 million "/>
    <s v="Unknown"/>
    <n v="0"/>
    <n v="0"/>
    <n v="42000"/>
    <n v="79000"/>
    <n v="60500"/>
    <x v="26"/>
    <n v="21"/>
    <n v="1"/>
    <n v="1"/>
    <n v="1"/>
    <n v="0"/>
    <n v="1"/>
    <n v="0"/>
    <n v="0"/>
    <n v="0"/>
    <n v="0"/>
    <n v="0"/>
    <n v="0"/>
    <n v="0"/>
    <n v="0"/>
    <n v="0"/>
    <n v="1"/>
    <n v="0"/>
    <x v="3"/>
    <s v="intermediate"/>
    <s v="Graduates"/>
  </r>
  <r>
    <n v="586"/>
    <s v="Lead Data Scientist"/>
    <n v="3.9"/>
    <s v="Zest AI"/>
    <s v="Burbank | CA"/>
    <s v="Burbank | CA"/>
    <s v="51 - 200"/>
    <n v="2009"/>
    <x v="0"/>
    <s v="Financial Analytics &amp; Research"/>
    <s v="Finance"/>
    <s v="100 million "/>
    <s v="Unknown"/>
    <n v="0"/>
    <n v="0"/>
    <n v="139000"/>
    <n v="221000"/>
    <n v="180000"/>
    <x v="6"/>
    <n v="14"/>
    <n v="1"/>
    <n v="0"/>
    <n v="0"/>
    <n v="1"/>
    <n v="1"/>
    <n v="0"/>
    <n v="0"/>
    <n v="0"/>
    <n v="0"/>
    <n v="0"/>
    <n v="0"/>
    <n v="0"/>
    <n v="0"/>
    <n v="0"/>
    <n v="0"/>
    <n v="0"/>
    <x v="0"/>
    <s v="Senior "/>
    <s v="Masters"/>
  </r>
  <r>
    <n v="587"/>
    <s v="Technology-Minded, Data Professional Opportunities"/>
    <n v="4.7"/>
    <s v="Veterans United Home Loans"/>
    <s v="Columbia | MO"/>
    <s v="Columbia | MO"/>
    <s v="1001 - 5000"/>
    <n v="2002"/>
    <x v="0"/>
    <s v="Lending"/>
    <s v="Finance"/>
    <s v="Unknown / Non-Applicable"/>
    <s v="Unknown"/>
    <n v="0"/>
    <n v="0"/>
    <n v="40000"/>
    <n v="101000"/>
    <n v="70500"/>
    <x v="19"/>
    <n v="21"/>
    <n v="0"/>
    <n v="1"/>
    <n v="0"/>
    <n v="1"/>
    <n v="1"/>
    <n v="0"/>
    <n v="0"/>
    <n v="0"/>
    <n v="0"/>
    <n v="0"/>
    <n v="1"/>
    <n v="1"/>
    <n v="0"/>
    <n v="0"/>
    <n v="1"/>
    <n v="0"/>
    <x v="1"/>
    <s v="intermediate"/>
    <s v="Graduates"/>
  </r>
  <r>
    <n v="588"/>
    <s v="Big Data Engineer"/>
    <n v="3.3"/>
    <s v="Peraton"/>
    <s v="Chantilly | VA"/>
    <s v="Herndon | VA"/>
    <s v="1001 - 5000"/>
    <n v="2017"/>
    <x v="0"/>
    <s v="Aerospace &amp; Defense"/>
    <s v="Aerospace &amp; Defense"/>
    <s v="2 billion "/>
    <s v="Unknown"/>
    <n v="0"/>
    <n v="0"/>
    <n v="84000"/>
    <n v="153000"/>
    <n v="118500"/>
    <x v="7"/>
    <n v="6"/>
    <n v="1"/>
    <n v="1"/>
    <n v="0"/>
    <n v="0"/>
    <n v="1"/>
    <n v="0"/>
    <n v="0"/>
    <n v="0"/>
    <n v="0"/>
    <n v="0"/>
    <n v="1"/>
    <n v="0"/>
    <n v="0"/>
    <n v="0"/>
    <n v="0"/>
    <n v="0"/>
    <x v="3"/>
    <s v="intermediate"/>
    <s v="Graduates"/>
  </r>
  <r>
    <n v="589"/>
    <s v="Salesforce Analytics Consultant"/>
    <n v="3.9"/>
    <s v="Emtec, Inc."/>
    <s v="Chicago | IL"/>
    <s v="Jacksonville | FL"/>
    <s v="501 - 1000"/>
    <n v="1995"/>
    <x v="0"/>
    <s v="Enterprise Software &amp; Network Solutions"/>
    <s v="Information Technology"/>
    <s v="500 million"/>
    <s v="Unknown"/>
    <n v="0"/>
    <n v="0"/>
    <n v="52000"/>
    <n v="81000"/>
    <n v="66500"/>
    <x v="11"/>
    <n v="28"/>
    <n v="1"/>
    <n v="0"/>
    <n v="0"/>
    <n v="0"/>
    <n v="1"/>
    <n v="1"/>
    <n v="0"/>
    <n v="0"/>
    <n v="0"/>
    <n v="0"/>
    <n v="0"/>
    <n v="1"/>
    <n v="1"/>
    <n v="0"/>
    <n v="0"/>
    <n v="0"/>
    <x v="4"/>
    <s v="intermediate"/>
    <s v="Masters"/>
  </r>
  <r>
    <n v="590"/>
    <s v="Managing Data Scientist/ML Engineer"/>
    <n v="3.4"/>
    <s v="PA Consulting"/>
    <s v="Boston | MA"/>
    <s v="London | United Kingdom"/>
    <s v="1001 - 5000"/>
    <n v="1943"/>
    <x v="0"/>
    <s v="Consulting"/>
    <s v="Business Services"/>
    <s v="500 million"/>
    <s v="McKinsey &amp; Company, Accenture, Deloitte"/>
    <n v="0"/>
    <n v="0"/>
    <n v="81000"/>
    <n v="134000"/>
    <n v="107500"/>
    <x v="8"/>
    <n v="80"/>
    <n v="0"/>
    <n v="1"/>
    <n v="0"/>
    <n v="1"/>
    <n v="1"/>
    <n v="0"/>
    <n v="0"/>
    <n v="0"/>
    <n v="0"/>
    <n v="0"/>
    <n v="1"/>
    <n v="1"/>
    <n v="0"/>
    <n v="0"/>
    <n v="1"/>
    <n v="0"/>
    <x v="0"/>
    <s v="intermediate"/>
    <s v="Graduates"/>
  </r>
  <r>
    <n v="591"/>
    <s v="Senior Data Engineer"/>
    <n v="4.7"/>
    <s v="Praetorian"/>
    <s v="Austin | TX"/>
    <s v="Austin | TX"/>
    <s v="51 - 200"/>
    <n v="2010"/>
    <x v="0"/>
    <s v="Security Services"/>
    <s v="Business Services"/>
    <s v="25 million"/>
    <s v="Unknown"/>
    <n v="0"/>
    <n v="0"/>
    <n v="97000"/>
    <n v="180000"/>
    <n v="138500"/>
    <x v="5"/>
    <n v="13"/>
    <n v="1"/>
    <n v="1"/>
    <n v="0"/>
    <n v="0"/>
    <n v="1"/>
    <n v="0"/>
    <n v="0"/>
    <n v="0"/>
    <n v="0"/>
    <n v="1"/>
    <n v="0"/>
    <n v="0"/>
    <n v="0"/>
    <n v="0"/>
    <n v="0"/>
    <n v="0"/>
    <x v="3"/>
    <s v="Senior "/>
    <s v="Graduates"/>
  </r>
  <r>
    <n v="592"/>
    <s v="Staff Scientist- Upstream PD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593"/>
    <s v="Data Engineering Analyst"/>
    <n v="3.8"/>
    <s v="COUNTRY Financial"/>
    <s v="Bloomington | IL"/>
    <s v="Bloomington | IL"/>
    <s v="1001 - 5000"/>
    <n v="1925"/>
    <x v="0"/>
    <s v="Insurance Carriers"/>
    <s v="Insurance"/>
    <s v="5 billion "/>
    <s v="Northwestern Mutual, American Family Insurance, MetLife"/>
    <n v="0"/>
    <n v="0"/>
    <n v="44000"/>
    <n v="73000"/>
    <n v="58500"/>
    <x v="11"/>
    <n v="98"/>
    <n v="1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Masters"/>
  </r>
  <r>
    <n v="594"/>
    <s v="Sr. Data Engineer"/>
    <n v="3.4"/>
    <s v="Echo Global Logistics"/>
    <s v="Chicago | IL"/>
    <s v="Chicago | IL"/>
    <s v="1001 - 5000"/>
    <n v="2005"/>
    <x v="3"/>
    <s v="Transportation Management"/>
    <s v="Transportation &amp; Logistics"/>
    <s v="5 billion "/>
    <s v="C.H. Robinson, Total Quality Logistics, Coyote Logistics"/>
    <n v="0"/>
    <n v="0"/>
    <n v="75000"/>
    <n v="140000"/>
    <n v="107500"/>
    <x v="11"/>
    <n v="18"/>
    <n v="0"/>
    <n v="0"/>
    <n v="0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595"/>
    <s v="Scientist, Pharmacometrics"/>
    <n v="3.8"/>
    <s v="Agios Pharmaceuticals"/>
    <s v="Cambridge | MA"/>
    <s v="Cambridge | MA"/>
    <s v="501 - 1000"/>
    <n v="2008"/>
    <x v="3"/>
    <s v="Biotech &amp; Pharmaceuticals"/>
    <s v="Biotech &amp; Pharmaceuticals"/>
    <s v="100 million "/>
    <s v="Unknown"/>
    <n v="0"/>
    <n v="0"/>
    <n v="84000"/>
    <n v="157000"/>
    <n v="120500"/>
    <x v="8"/>
    <n v="15"/>
    <n v="0"/>
    <n v="0"/>
    <n v="0"/>
    <n v="0"/>
    <n v="0"/>
    <n v="1"/>
    <n v="0"/>
    <n v="0"/>
    <n v="0"/>
    <n v="0"/>
    <n v="0"/>
    <n v="0"/>
    <n v="0"/>
    <n v="0"/>
    <n v="0"/>
    <n v="0"/>
    <x v="1"/>
    <s v="intermediate"/>
    <s v="Masters"/>
  </r>
  <r>
    <n v="596"/>
    <s v="Manager of Data Science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40000"/>
    <n v="87000"/>
    <n v="63500"/>
    <x v="6"/>
    <n v="16"/>
    <n v="1"/>
    <n v="1"/>
    <n v="0"/>
    <n v="0"/>
    <n v="1"/>
    <n v="0"/>
    <n v="0"/>
    <n v="0"/>
    <n v="1"/>
    <n v="1"/>
    <n v="0"/>
    <n v="0"/>
    <n v="0"/>
    <n v="0"/>
    <n v="0"/>
    <n v="0"/>
    <x v="0"/>
    <s v="intermediate"/>
    <s v="Graduates"/>
  </r>
  <r>
    <n v="597"/>
    <s v="Scientist Manufacturing Pharma - Kentucky BioProcessing"/>
    <n v="3.1"/>
    <s v="Reynolds American"/>
    <s v="Owensboro | KY"/>
    <s v="Winston-Salem | NC"/>
    <s v="5001 - 10000"/>
    <n v="1875"/>
    <x v="0"/>
    <s v="Consumer Products Manufacturing"/>
    <s v="Manufacturing"/>
    <s v="10 billion "/>
    <s v="Unknown"/>
    <n v="0"/>
    <n v="0"/>
    <n v="68000"/>
    <n v="139000"/>
    <n v="103500"/>
    <x v="12"/>
    <n v="14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598"/>
    <s v="Software Engineer (Data Scientist/Software Engineer) - SISW - MG"/>
    <n v="4.0999999999999996"/>
    <s v="Mentor Graphics"/>
    <s v="Fremont | CA"/>
    <s v="Wilsonville | OR"/>
    <s v="5001 - 10000"/>
    <n v="1981"/>
    <x v="3"/>
    <s v="Computer Hardware &amp; Software"/>
    <s v="Information Technology"/>
    <s v="2 billion "/>
    <s v="Cadence Design Systems, Synopsys, Altium Limited"/>
    <n v="0"/>
    <n v="0"/>
    <n v="72000"/>
    <n v="142000"/>
    <n v="107000"/>
    <x v="6"/>
    <n v="42"/>
    <n v="1"/>
    <n v="0"/>
    <n v="0"/>
    <n v="1"/>
    <n v="0"/>
    <n v="0"/>
    <n v="1"/>
    <n v="0"/>
    <n v="0"/>
    <n v="1"/>
    <n v="0"/>
    <n v="0"/>
    <n v="0"/>
    <n v="0"/>
    <n v="0"/>
    <n v="0"/>
    <x v="0"/>
    <s v="intermediate"/>
    <s v="Graduates"/>
  </r>
  <r>
    <n v="599"/>
    <s v="Data Engineer"/>
    <n v="3.7"/>
    <s v="Maxar Technologies"/>
    <s v="Springfield | VA"/>
    <s v="Westminster | CO"/>
    <s v="5001 - 10000"/>
    <s v="Unknown"/>
    <x v="3"/>
    <s v="Aerospace &amp; Defense"/>
    <s v="Aerospace &amp; Defense"/>
    <s v="5 billion "/>
    <s v="Unknown"/>
    <n v="0"/>
    <n v="0"/>
    <n v="74000"/>
    <n v="137000"/>
    <n v="105500"/>
    <x v="7"/>
    <s v="Unknown"/>
    <n v="1"/>
    <n v="1"/>
    <n v="0"/>
    <n v="0"/>
    <n v="1"/>
    <n v="0"/>
    <n v="0"/>
    <n v="0"/>
    <n v="0"/>
    <n v="0"/>
    <n v="1"/>
    <n v="0"/>
    <n v="0"/>
    <n v="0"/>
    <n v="0"/>
    <n v="0"/>
    <x v="3"/>
    <s v="intermediate"/>
    <s v="Graduates"/>
  </r>
  <r>
    <n v="600"/>
    <s v="Data Engineer"/>
    <n v="2.8"/>
    <s v="ICW Group"/>
    <s v="San | CA"/>
    <s v="San Diego | CA"/>
    <s v="501 - 1000"/>
    <n v="1972"/>
    <x v="0"/>
    <s v="Insurance Carriers"/>
    <s v="Insurance"/>
    <s v="750 million"/>
    <s v="Liberty Mutual Insurance, EMPLOYERS, Travelers"/>
    <n v="0"/>
    <n v="0"/>
    <n v="57000"/>
    <n v="109000"/>
    <n v="83000"/>
    <x v="6"/>
    <n v="51"/>
    <n v="0"/>
    <n v="0"/>
    <n v="0"/>
    <n v="0"/>
    <n v="1"/>
    <n v="0"/>
    <n v="0"/>
    <n v="0"/>
    <n v="0"/>
    <n v="0"/>
    <n v="0"/>
    <n v="1"/>
    <n v="1"/>
    <n v="0"/>
    <n v="0"/>
    <n v="0"/>
    <x v="3"/>
    <s v="intermediate"/>
    <s v="Graduates"/>
  </r>
  <r>
    <n v="601"/>
    <s v="Lead Big Data Engineer"/>
    <n v="4"/>
    <s v="Glassdoor"/>
    <s v="San | CA"/>
    <s v="Mill Valley | CA"/>
    <s v="1001 - 5000"/>
    <n v="2007"/>
    <x v="0"/>
    <s v="Internet"/>
    <s v="Information Technology"/>
    <s v="Unknown / Non-Applicable"/>
    <s v="Indeed, LinkedIn"/>
    <n v="0"/>
    <n v="0"/>
    <n v="121000"/>
    <n v="203000"/>
    <n v="162000"/>
    <x v="6"/>
    <n v="16"/>
    <n v="1"/>
    <n v="1"/>
    <n v="1"/>
    <n v="1"/>
    <n v="0"/>
    <n v="0"/>
    <n v="0"/>
    <n v="0"/>
    <n v="0"/>
    <n v="0"/>
    <n v="1"/>
    <n v="0"/>
    <n v="0"/>
    <n v="0"/>
    <n v="0"/>
    <n v="0"/>
    <x v="3"/>
    <s v="Senior "/>
    <s v="Graduates"/>
  </r>
  <r>
    <n v="602"/>
    <s v="Product Engineer – Spatial Data Science and Statistical Analysis"/>
    <n v="3.5"/>
    <s v="Esri"/>
    <s v="Redlands | CA"/>
    <s v="Redlands | CA"/>
    <s v="1001 - 5000"/>
    <n v="1969"/>
    <x v="0"/>
    <s v="Computer Hardware &amp; Software"/>
    <s v="Information Technology"/>
    <s v="2 billion "/>
    <s v="Pitney Bowes"/>
    <n v="0"/>
    <n v="0"/>
    <n v="52000"/>
    <n v="85000"/>
    <n v="68500"/>
    <x v="6"/>
    <n v="54"/>
    <n v="1"/>
    <n v="1"/>
    <n v="0"/>
    <n v="1"/>
    <n v="0"/>
    <n v="0"/>
    <n v="0"/>
    <n v="1"/>
    <n v="1"/>
    <n v="1"/>
    <n v="0"/>
    <n v="0"/>
    <n v="0"/>
    <n v="0"/>
    <n v="0"/>
    <n v="0"/>
    <x v="0"/>
    <s v="intermediate"/>
    <s v="Masters"/>
  </r>
  <r>
    <n v="603"/>
    <s v="Sr Software Engineer (Data Scientist)"/>
    <n v="3.4"/>
    <s v="Assurant"/>
    <s v="Westlake | OH"/>
    <s v="New York | NY"/>
    <s v="10000+"/>
    <n v="1978"/>
    <x v="3"/>
    <s v="Insurance Carriers"/>
    <s v="Insurance"/>
    <s v="10 billion"/>
    <s v="Asurion, SquareTrade, National General Insurance"/>
    <n v="0"/>
    <n v="0"/>
    <n v="81000"/>
    <n v="140000"/>
    <n v="110500"/>
    <x v="17"/>
    <n v="45"/>
    <n v="0"/>
    <n v="0"/>
    <n v="0"/>
    <n v="1"/>
    <n v="1"/>
    <n v="0"/>
    <n v="0"/>
    <n v="1"/>
    <n v="0"/>
    <n v="1"/>
    <n v="0"/>
    <n v="0"/>
    <n v="0"/>
    <n v="0"/>
    <n v="0"/>
    <n v="0"/>
    <x v="0"/>
    <s v="Senior "/>
    <s v="Graduates"/>
  </r>
  <r>
    <n v="604"/>
    <s v="Sr. Data Engineer (ETL Developer)"/>
    <n v="3.7"/>
    <s v="F&amp;G"/>
    <s v="Des | IA"/>
    <s v="Des Moines | IA"/>
    <s v="201 - 500"/>
    <s v="Unknown"/>
    <x v="5"/>
    <s v="Insurance Carriers"/>
    <s v="Insurance"/>
    <s v="500 million"/>
    <s v="Unknown"/>
    <n v="0"/>
    <n v="0"/>
    <n v="83000"/>
    <n v="148000"/>
    <n v="115500"/>
    <x v="34"/>
    <s v="Unknown"/>
    <n v="1"/>
    <n v="0"/>
    <n v="0"/>
    <n v="1"/>
    <n v="1"/>
    <n v="0"/>
    <n v="0"/>
    <n v="0"/>
    <n v="0"/>
    <n v="0"/>
    <n v="0"/>
    <n v="1"/>
    <n v="0"/>
    <n v="0"/>
    <n v="0"/>
    <n v="0"/>
    <x v="3"/>
    <s v="Senior "/>
    <s v="Graduates"/>
  </r>
  <r>
    <n v="605"/>
    <s v="Associate Research Scientist I (Protein Expression and Production)"/>
    <n v="3"/>
    <s v="Exelixis"/>
    <s v="Alameda | CA"/>
    <s v="Alameda | CA"/>
    <s v="501 - 1000"/>
    <n v="1994"/>
    <x v="3"/>
    <s v="Biotech &amp; Pharmaceuticals"/>
    <s v="Biotech &amp; Pharmaceuticals"/>
    <s v="Unknown / Non-Applicable"/>
    <s v="Genentech, Novartis, AstraZeneca"/>
    <n v="0"/>
    <n v="0"/>
    <n v="59000"/>
    <n v="116000"/>
    <n v="87500"/>
    <x v="6"/>
    <n v="29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Masters"/>
  </r>
  <r>
    <n v="606"/>
    <s v="Senior Data Scientist Artificial Intelligence"/>
    <n v="3.8"/>
    <s v="PNNL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60000"/>
    <n v="101000"/>
    <n v="805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Senior "/>
    <s v="Masters"/>
  </r>
  <r>
    <n v="607"/>
    <s v="Analytics - Business Assurance Data Analyst"/>
    <n v="4.5999999999999996"/>
    <s v="GreatAmerica Financial Services"/>
    <s v="Cedar | IA"/>
    <s v="Cedar Rapids | IA"/>
    <s v="501 - 1000"/>
    <n v="1992"/>
    <x v="0"/>
    <s v="Lending"/>
    <s v="Finance"/>
    <s v="500 million"/>
    <s v="Unknown"/>
    <n v="0"/>
    <n v="0"/>
    <n v="31000"/>
    <n v="55000"/>
    <n v="43000"/>
    <x v="34"/>
    <n v="31"/>
    <n v="0"/>
    <n v="0"/>
    <n v="0"/>
    <n v="1"/>
    <n v="1"/>
    <n v="0"/>
    <n v="0"/>
    <n v="0"/>
    <n v="0"/>
    <n v="0"/>
    <n v="0"/>
    <n v="1"/>
    <n v="0"/>
    <n v="0"/>
    <n v="0"/>
    <n v="0"/>
    <x v="2"/>
    <s v="intermediate"/>
    <s v="Graduates"/>
  </r>
  <r>
    <n v="608"/>
    <s v="Associate Director/Director, Safety Scientist"/>
    <n v="4.4000000000000004"/>
    <s v="Acceleron Pharma"/>
    <s v="Cambridge | MA"/>
    <s v="Cambridge | MA"/>
    <s v="201 - 500"/>
    <n v="2003"/>
    <x v="3"/>
    <s v="Biotech &amp; Pharmaceuticals"/>
    <s v="Biotech &amp; Pharmaceuticals"/>
    <s v="Unknown / Non-Applicable"/>
    <s v="Unknown"/>
    <n v="0"/>
    <n v="0"/>
    <n v="102000"/>
    <n v="178000"/>
    <n v="140000"/>
    <x v="8"/>
    <n v="20"/>
    <n v="0"/>
    <n v="0"/>
    <n v="0"/>
    <n v="1"/>
    <n v="0"/>
    <n v="0"/>
    <n v="0"/>
    <n v="0"/>
    <n v="0"/>
    <n v="0"/>
    <n v="0"/>
    <n v="0"/>
    <n v="0"/>
    <n v="0"/>
    <n v="0"/>
    <n v="0"/>
    <x v="8"/>
    <s v="intermediate"/>
    <s v="Post Graduates"/>
  </r>
  <r>
    <n v="609"/>
    <s v="Director, Precision Medicine Clinical Biomarker Scientist"/>
    <n v="4"/>
    <s v="Pfizer"/>
    <s v="Cambridge | MA"/>
    <s v="New York | NY"/>
    <s v="10000+"/>
    <n v="1849"/>
    <x v="3"/>
    <s v="Biotech &amp; Pharmaceuticals"/>
    <s v="Biotech &amp; Pharmaceuticals"/>
    <s v="10 billion "/>
    <s v="Unknown"/>
    <n v="0"/>
    <n v="0"/>
    <n v="136000"/>
    <n v="208000"/>
    <n v="172000"/>
    <x v="8"/>
    <n v="174"/>
    <n v="0"/>
    <n v="0"/>
    <n v="1"/>
    <n v="0"/>
    <n v="0"/>
    <n v="0"/>
    <n v="0"/>
    <n v="0"/>
    <n v="0"/>
    <n v="0"/>
    <n v="0"/>
    <n v="0"/>
    <n v="0"/>
    <n v="0"/>
    <n v="0"/>
    <n v="0"/>
    <x v="8"/>
    <s v="intermediate"/>
    <s v="Post Graduates"/>
  </r>
  <r>
    <n v="610"/>
    <s v="Senior Scientist, Cell Pharmacology/Assay Development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10000"/>
    <n v="130000"/>
    <n v="120000"/>
    <x v="8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611"/>
    <s v="Data Analyst Senior"/>
    <n v="3"/>
    <s v="AmeriHealth Caritas"/>
    <s v="Philadelphia | PA"/>
    <s v="Philadelphia | PA"/>
    <s v="5001 - 10000"/>
    <n v="1983"/>
    <x v="0"/>
    <s v="Insurance Carriers"/>
    <s v="Insurance"/>
    <s v="10 billion"/>
    <s v="UnitedHealth Group, Molina Healthcare, Centene"/>
    <n v="0"/>
    <n v="0"/>
    <n v="48000"/>
    <n v="85000"/>
    <n v="66500"/>
    <x v="20"/>
    <n v="40"/>
    <n v="0"/>
    <n v="0"/>
    <n v="0"/>
    <n v="1"/>
    <n v="1"/>
    <n v="1"/>
    <n v="0"/>
    <n v="0"/>
    <n v="0"/>
    <n v="0"/>
    <n v="0"/>
    <n v="1"/>
    <n v="0"/>
    <n v="0"/>
    <n v="0"/>
    <n v="0"/>
    <x v="2"/>
    <s v="Senior "/>
    <s v="Masters"/>
  </r>
  <r>
    <n v="612"/>
    <s v="Senior Formulations Scientist II"/>
    <n v="3"/>
    <s v="Exelixis"/>
    <s v="Alameda | CA"/>
    <s v="Alameda | CA"/>
    <s v="501 - 1000"/>
    <n v="1994"/>
    <x v="3"/>
    <s v="Biotech &amp; Pharmaceuticals"/>
    <s v="Biotech &amp; Pharmaceuticals"/>
    <s v="Unknown / Non-Applicable"/>
    <s v="Genentech, Novartis, AstraZeneca"/>
    <n v="0"/>
    <n v="0"/>
    <n v="71000"/>
    <n v="129000"/>
    <n v="100000"/>
    <x v="6"/>
    <n v="29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613"/>
    <s v="Lead Data Engineer (Python)"/>
    <n v="4.7"/>
    <s v="Strategic Employment Partners"/>
    <s v="San | CA"/>
    <s v="Los Angeles | CA"/>
    <s v="51 - 200"/>
    <n v="2006"/>
    <x v="0"/>
    <s v="Staffing &amp; Outsourcing"/>
    <s v="Business Services"/>
    <s v="5 million"/>
    <s v="Unknown"/>
    <n v="0"/>
    <n v="0"/>
    <n v="66000"/>
    <n v="123000"/>
    <n v="94500"/>
    <x v="6"/>
    <n v="17"/>
    <n v="1"/>
    <n v="0"/>
    <n v="1"/>
    <n v="0"/>
    <n v="0"/>
    <n v="0"/>
    <n v="0"/>
    <n v="0"/>
    <n v="0"/>
    <n v="0"/>
    <n v="0"/>
    <n v="0"/>
    <n v="0"/>
    <n v="0"/>
    <n v="0"/>
    <n v="0"/>
    <x v="3"/>
    <s v="Senior "/>
    <s v="Graduates"/>
  </r>
  <r>
    <n v="614"/>
    <s v="Data Science Manager"/>
    <n v="4.2"/>
    <s v="Grand Rounds"/>
    <s v="San | CA"/>
    <s v="San Francisco | CA"/>
    <s v="501 - 1000"/>
    <n v="2011"/>
    <x v="0"/>
    <s v="Health Care Services &amp; Hospitals"/>
    <s v="Health Care"/>
    <s v="Unknown / Non-Applicable"/>
    <s v="Unknown"/>
    <n v="0"/>
    <n v="0"/>
    <n v="171000"/>
    <n v="272000"/>
    <n v="221500"/>
    <x v="6"/>
    <n v="12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Graduates"/>
  </r>
  <r>
    <n v="615"/>
    <s v="Senior Data Scientist 4 Artificial Intelligence"/>
    <n v="3.8"/>
    <s v="PNNL"/>
    <s v="Seattle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92000"/>
    <n v="146000"/>
    <n v="1190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Senior "/>
    <s v="Masters"/>
  </r>
  <r>
    <n v="616"/>
    <s v="Data Engineer"/>
    <n v="3.5"/>
    <s v="SPINS, LLC"/>
    <s v="Chicago | IL"/>
    <s v="Chicago | IL"/>
    <s v="201 - 500"/>
    <n v="1995"/>
    <x v="0"/>
    <s v="Consulting"/>
    <s v="Business Services"/>
    <s v="100 million "/>
    <s v="Unknown"/>
    <n v="0"/>
    <n v="0"/>
    <n v="65000"/>
    <n v="126000"/>
    <n v="95500"/>
    <x v="11"/>
    <n v="28"/>
    <n v="1"/>
    <n v="0"/>
    <n v="0"/>
    <n v="0"/>
    <n v="1"/>
    <n v="0"/>
    <n v="0"/>
    <n v="0"/>
    <n v="0"/>
    <n v="0"/>
    <n v="0"/>
    <n v="0"/>
    <n v="0"/>
    <n v="0"/>
    <n v="0"/>
    <n v="0"/>
    <x v="3"/>
    <s v="intermediate"/>
    <s v="Masters"/>
  </r>
  <r>
    <n v="617"/>
    <s v="Director II, Data Science - GRS Predictive Analytics"/>
    <n v="3.3"/>
    <s v="Liberty Mutual Insurance"/>
    <s v="Chicago | IL"/>
    <s v="Boston | MA"/>
    <s v="10000+"/>
    <n v="1912"/>
    <x v="0"/>
    <s v="Insurance Carriers"/>
    <s v="Insurance"/>
    <s v="10 billion "/>
    <s v="Travelers, Allstate, State Farm"/>
    <n v="0"/>
    <n v="0"/>
    <n v="150000"/>
    <n v="239000"/>
    <n v="194500"/>
    <x v="11"/>
    <n v="111"/>
    <n v="1"/>
    <n v="0"/>
    <n v="0"/>
    <n v="0"/>
    <n v="0"/>
    <n v="1"/>
    <n v="0"/>
    <n v="0"/>
    <n v="0"/>
    <n v="0"/>
    <n v="0"/>
    <n v="0"/>
    <n v="0"/>
    <n v="0"/>
    <n v="0"/>
    <n v="0"/>
    <x v="0"/>
    <s v="intermediate"/>
    <s v="Post Graduates"/>
  </r>
  <r>
    <n v="618"/>
    <s v="Medical Lab Scientist - MLT"/>
    <n v="3.2"/>
    <s v="Catholic Health Initiatives"/>
    <s v="Omaha | NE"/>
    <s v="Englewood | CO"/>
    <s v="10000+"/>
    <n v="1996"/>
    <x v="6"/>
    <s v="Health Care Services &amp; Hospitals"/>
    <s v="Health Care"/>
    <s v="10 billion "/>
    <s v="Dignity Health, Trinity Health"/>
    <n v="1"/>
    <n v="0"/>
    <n v="43000"/>
    <n v="60000"/>
    <n v="51500"/>
    <x v="27"/>
    <n v="2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619"/>
    <s v="Senior Operations Data Analyst, Call Center Operations"/>
    <n v="2.7"/>
    <s v="FLEETCOR"/>
    <s v="Nashville | TN"/>
    <s v="Peachtree Corners | GA"/>
    <s v="5001 - 10000"/>
    <n v="2000"/>
    <x v="3"/>
    <s v="Financial Transaction Processing"/>
    <s v="Finance"/>
    <s v="5 billion "/>
    <s v="Unknown"/>
    <n v="1"/>
    <n v="0"/>
    <n v="20000"/>
    <n v="35000"/>
    <n v="27500"/>
    <x v="30"/>
    <n v="23"/>
    <n v="0"/>
    <n v="0"/>
    <n v="0"/>
    <n v="1"/>
    <n v="0"/>
    <n v="0"/>
    <n v="0"/>
    <n v="0"/>
    <n v="0"/>
    <n v="0"/>
    <n v="0"/>
    <n v="1"/>
    <n v="0"/>
    <n v="0"/>
    <n v="0"/>
    <n v="0"/>
    <x v="2"/>
    <s v="Senior "/>
    <s v="Graduates"/>
  </r>
  <r>
    <n v="620"/>
    <s v="Senior Quantitative Analyst"/>
    <n v="3.3"/>
    <s v="DTCC"/>
    <s v="Jersey | NJ"/>
    <s v="New York | NY"/>
    <s v="1001 - 5000"/>
    <n v="1973"/>
    <x v="0"/>
    <s v="Brokerage Services"/>
    <s v="Finance"/>
    <s v="2 billion "/>
    <s v="Unknown"/>
    <n v="0"/>
    <n v="0"/>
    <n v="118000"/>
    <n v="228000"/>
    <n v="173000"/>
    <x v="9"/>
    <n v="50"/>
    <n v="1"/>
    <n v="0"/>
    <n v="0"/>
    <n v="1"/>
    <n v="1"/>
    <n v="0"/>
    <n v="0"/>
    <n v="0"/>
    <n v="0"/>
    <n v="0"/>
    <n v="0"/>
    <n v="0"/>
    <n v="0"/>
    <n v="0"/>
    <n v="0"/>
    <n v="0"/>
    <x v="2"/>
    <s v="Senior "/>
    <s v="Graduates"/>
  </r>
  <r>
    <n v="621"/>
    <s v="Geospatial Software Developer and Data Scientist"/>
    <n v="3.7"/>
    <s v="Applied Research Laboratories"/>
    <s v="Austin | TX"/>
    <s v="Austin | TX"/>
    <s v="501 - 1000"/>
    <s v="Unknown"/>
    <x v="7"/>
    <s v="Colleges &amp; Universities"/>
    <s v="Education"/>
    <s v="Unknown / Non-Applicable"/>
    <s v="Unknown"/>
    <n v="0"/>
    <n v="0"/>
    <n v="82000"/>
    <n v="129000"/>
    <n v="105500"/>
    <x v="5"/>
    <s v="Unknown"/>
    <n v="1"/>
    <n v="0"/>
    <n v="1"/>
    <n v="0"/>
    <n v="0"/>
    <n v="0"/>
    <n v="1"/>
    <n v="1"/>
    <n v="1"/>
    <n v="1"/>
    <n v="0"/>
    <n v="0"/>
    <n v="0"/>
    <n v="0"/>
    <n v="0"/>
    <n v="0"/>
    <x v="0"/>
    <s v="intermediate"/>
    <s v="Graduates"/>
  </r>
  <r>
    <n v="622"/>
    <s v="RESEARCH COMPUTER SCIENTIST - RESEARCH ENGINEER - SR. COMPUTER SCIENTIST - SOFTWARE DEVELOPMENT"/>
    <n v="3.9"/>
    <s v="Southwest Research Institute"/>
    <s v="San | TX"/>
    <s v="San Antonio | TX"/>
    <s v="1001 - 5000"/>
    <n v="1947"/>
    <x v="6"/>
    <s v="Research &amp; Development"/>
    <s v="Business Services"/>
    <s v="750 million"/>
    <s v="Los Alamos National Laboratory, Battelle, SRI International"/>
    <n v="0"/>
    <n v="0"/>
    <n v="52000"/>
    <n v="91000"/>
    <n v="71500"/>
    <x v="5"/>
    <n v="76"/>
    <n v="1"/>
    <n v="0"/>
    <n v="1"/>
    <n v="1"/>
    <n v="1"/>
    <n v="0"/>
    <n v="0"/>
    <n v="0"/>
    <n v="0"/>
    <n v="0"/>
    <n v="0"/>
    <n v="0"/>
    <n v="0"/>
    <n v="0"/>
    <n v="0"/>
    <n v="0"/>
    <x v="1"/>
    <s v="Senior "/>
    <s v="Graduates"/>
  </r>
  <r>
    <n v="623"/>
    <s v="Senior Scientist - Toxicologist - Product Integrity (Stewardship)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47000"/>
    <n v="101000"/>
    <n v="740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624"/>
    <s v="Systems Engineer II - Data Analyst"/>
    <n v="3.7"/>
    <s v="Raytheon"/>
    <s v="Huntsville | AL"/>
    <s v="Waltham | MA"/>
    <s v="10000+"/>
    <n v="1922"/>
    <x v="3"/>
    <s v="Aerospace &amp; Defense"/>
    <s v="Aerospace &amp; Defense"/>
    <s v="10 billion "/>
    <s v="Unknown"/>
    <n v="0"/>
    <n v="0"/>
    <n v="49000"/>
    <n v="76000"/>
    <n v="62500"/>
    <x v="18"/>
    <n v="101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625"/>
    <s v="Senior Research Analytical Scientist-Non-Targeted Analysis"/>
    <n v="4.3"/>
    <s v="RTI International"/>
    <s v="Durham | NC"/>
    <s v="Research Triangle Park | NC"/>
    <s v="1001 - 5000"/>
    <n v="1958"/>
    <x v="6"/>
    <s v="Research &amp; Development"/>
    <s v="Business Services"/>
    <s v="750 million"/>
    <s v="Westat, Abt Associates, Chemonics International"/>
    <n v="0"/>
    <n v="0"/>
    <n v="43000"/>
    <n v="88000"/>
    <n v="65500"/>
    <x v="25"/>
    <n v="65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626"/>
    <s v="Data Scientist"/>
    <n v="3.8"/>
    <s v="DICK'S Sporting Goods - Corporate"/>
    <s v="Coraopolis | PA"/>
    <s v="Coraopolis | PA"/>
    <s v="10000+"/>
    <n v="1948"/>
    <x v="3"/>
    <s v="Sporting Goods Stores"/>
    <s v="Retail"/>
    <s v="10 billion"/>
    <s v="REI, Academy Sports + Outdoors, Cabela's"/>
    <n v="0"/>
    <n v="0"/>
    <n v="61000"/>
    <n v="109000"/>
    <n v="85000"/>
    <x v="20"/>
    <n v="75"/>
    <n v="1"/>
    <n v="0"/>
    <n v="0"/>
    <n v="0"/>
    <n v="1"/>
    <n v="0"/>
    <n v="0"/>
    <n v="1"/>
    <n v="0"/>
    <n v="1"/>
    <n v="0"/>
    <n v="0"/>
    <n v="0"/>
    <n v="0"/>
    <n v="0"/>
    <n v="0"/>
    <x v="0"/>
    <s v="intermediate"/>
    <s v="Masters"/>
  </r>
  <r>
    <n v="627"/>
    <s v="Principal Data Scientist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13000"/>
    <n v="182000"/>
    <n v="147500"/>
    <x v="1"/>
    <n v="110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Post Graduates"/>
  </r>
  <r>
    <n v="628"/>
    <s v="Director Data Science"/>
    <n v="3.6"/>
    <s v="TRANZACT"/>
    <s v="Fort | NJ"/>
    <s v="Fort Lee | NJ"/>
    <s v="1001 - 5000"/>
    <n v="1989"/>
    <x v="0"/>
    <s v="Advertising &amp; Marketing"/>
    <s v="Business Services"/>
    <s v="Unknown / Non-Applicable"/>
    <s v="Unknown"/>
    <n v="0"/>
    <n v="0"/>
    <n v="124000"/>
    <n v="199000"/>
    <n v="161500"/>
    <x v="9"/>
    <n v="34"/>
    <n v="1"/>
    <n v="0"/>
    <n v="1"/>
    <n v="1"/>
    <n v="1"/>
    <n v="0"/>
    <n v="0"/>
    <n v="0"/>
    <n v="0"/>
    <n v="0"/>
    <n v="0"/>
    <n v="1"/>
    <n v="1"/>
    <n v="0"/>
    <n v="0"/>
    <n v="0"/>
    <x v="0"/>
    <s v="intermediate"/>
    <s v="Graduates"/>
  </r>
  <r>
    <n v="629"/>
    <s v="Data Engineer"/>
    <n v="3.7"/>
    <s v="Carilion Clinic"/>
    <s v="Roanoke | VA"/>
    <s v="Roanoke | VA"/>
    <s v="10000+"/>
    <n v="1899"/>
    <x v="6"/>
    <s v="Health Care Services &amp; Hospitals"/>
    <s v="Health Care"/>
    <s v="2 billion "/>
    <s v="Unknown"/>
    <n v="0"/>
    <n v="0"/>
    <n v="58000"/>
    <n v="104000"/>
    <n v="81000"/>
    <x v="7"/>
    <n v="124"/>
    <n v="0"/>
    <n v="0"/>
    <n v="0"/>
    <n v="1"/>
    <n v="0"/>
    <n v="0"/>
    <n v="0"/>
    <n v="0"/>
    <n v="0"/>
    <n v="0"/>
    <n v="0"/>
    <n v="0"/>
    <n v="0"/>
    <n v="0"/>
    <n v="0"/>
    <n v="0"/>
    <x v="3"/>
    <s v="intermediate"/>
    <s v="Masters"/>
  </r>
  <r>
    <n v="630"/>
    <s v="Sr Data Analyst - IT"/>
    <n v="2.1"/>
    <s v="United BioSource"/>
    <s v="Blue | PA"/>
    <s v="Blue Bell | PA"/>
    <s v="1001 - 5000"/>
    <n v="2003"/>
    <x v="1"/>
    <s v="Biotech &amp; Pharmaceuticals"/>
    <s v="Biotech &amp; Pharmaceuticals"/>
    <s v="500 million"/>
    <s v="Covance, ICON"/>
    <n v="0"/>
    <n v="0"/>
    <n v="52000"/>
    <n v="93000"/>
    <n v="72500"/>
    <x v="20"/>
    <n v="20"/>
    <n v="0"/>
    <n v="0"/>
    <n v="0"/>
    <n v="1"/>
    <n v="1"/>
    <n v="0"/>
    <n v="0"/>
    <n v="0"/>
    <n v="0"/>
    <n v="0"/>
    <n v="0"/>
    <n v="1"/>
    <n v="0"/>
    <n v="0"/>
    <n v="0"/>
    <n v="0"/>
    <x v="2"/>
    <s v="Senior "/>
    <s v="Graduates"/>
  </r>
  <r>
    <n v="631"/>
    <s v="Senior Data Engineer"/>
    <n v="3.9"/>
    <s v="Figure Eight"/>
    <s v="San | CA"/>
    <s v="San Francisco | CA"/>
    <s v="51 - 200"/>
    <n v="2008"/>
    <x v="3"/>
    <s v="Computer Hardware &amp; Software"/>
    <s v="Information Technology"/>
    <s v="25 million"/>
    <s v="Unknown"/>
    <n v="0"/>
    <n v="0"/>
    <n v="97000"/>
    <n v="181000"/>
    <n v="139000"/>
    <x v="6"/>
    <n v="15"/>
    <n v="1"/>
    <n v="0"/>
    <n v="1"/>
    <n v="1"/>
    <n v="0"/>
    <n v="0"/>
    <n v="0"/>
    <n v="0"/>
    <n v="0"/>
    <n v="0"/>
    <n v="0"/>
    <n v="0"/>
    <n v="0"/>
    <n v="0"/>
    <n v="0"/>
    <n v="0"/>
    <x v="3"/>
    <s v="Senior "/>
    <s v="Graduates"/>
  </r>
  <r>
    <n v="632"/>
    <s v="Senior Data Engineer"/>
    <n v="3.9"/>
    <s v="Tapjoy"/>
    <s v="San | CA"/>
    <s v="San Francisco | CA"/>
    <s v="201 - 500"/>
    <n v="2007"/>
    <x v="0"/>
    <s v="Internet"/>
    <s v="Information Technology"/>
    <s v="25 million"/>
    <s v="FLURRY, Chartboost"/>
    <n v="0"/>
    <n v="0"/>
    <n v="100000"/>
    <n v="173000"/>
    <n v="136500"/>
    <x v="6"/>
    <n v="16"/>
    <n v="0"/>
    <n v="0"/>
    <n v="0"/>
    <n v="0"/>
    <n v="1"/>
    <n v="0"/>
    <n v="0"/>
    <n v="0"/>
    <n v="0"/>
    <n v="0"/>
    <n v="0"/>
    <n v="0"/>
    <n v="0"/>
    <n v="0"/>
    <n v="0"/>
    <n v="0"/>
    <x v="3"/>
    <s v="Senior "/>
    <s v="Graduates"/>
  </r>
  <r>
    <n v="633"/>
    <s v="Sr. Data Analyst"/>
    <n v="3.2"/>
    <s v="DoubleVerify"/>
    <s v="New | NY"/>
    <s v="New York | NY"/>
    <s v="201 - 500"/>
    <n v="2008"/>
    <x v="0"/>
    <s v="Internet"/>
    <s v="Information Technology"/>
    <s v="Unknown / Non-Applicable"/>
    <s v="Unknown"/>
    <n v="0"/>
    <n v="0"/>
    <n v="58000"/>
    <n v="108000"/>
    <n v="83000"/>
    <x v="4"/>
    <n v="15"/>
    <n v="1"/>
    <n v="1"/>
    <n v="0"/>
    <n v="1"/>
    <n v="1"/>
    <n v="0"/>
    <n v="0"/>
    <n v="0"/>
    <n v="0"/>
    <n v="0"/>
    <n v="0"/>
    <n v="0"/>
    <n v="0"/>
    <n v="0"/>
    <n v="0"/>
    <n v="0"/>
    <x v="2"/>
    <s v="Senior "/>
    <s v="Graduates"/>
  </r>
  <r>
    <n v="634"/>
    <s v="Research Scientist or Senior Research Scientist - Computer Vision"/>
    <n v="4.5999999999999996"/>
    <s v="Mitsubishi Electric Research Labs"/>
    <s v="Cambridge | MA"/>
    <s v="Cambridge | MA"/>
    <s v="51 - 200"/>
    <n v="1991"/>
    <x v="5"/>
    <s v="Research &amp; Development"/>
    <s v="Business Services"/>
    <s v="10 million "/>
    <s v="Google, Amazon, NVIDIA"/>
    <n v="0"/>
    <n v="0"/>
    <n v="81000"/>
    <n v="161000"/>
    <n v="121000"/>
    <x v="8"/>
    <n v="32"/>
    <n v="0"/>
    <n v="0"/>
    <n v="1"/>
    <n v="1"/>
    <n v="0"/>
    <n v="0"/>
    <n v="0"/>
    <n v="1"/>
    <n v="0"/>
    <n v="1"/>
    <n v="0"/>
    <n v="0"/>
    <n v="0"/>
    <n v="0"/>
    <n v="0"/>
    <n v="0"/>
    <x v="1"/>
    <s v="Senior "/>
    <s v="Post Graduates"/>
  </r>
  <r>
    <n v="635"/>
    <s v="Associate Machine Learning Engineer / Data Scientist May 2020 Undergrad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53000"/>
    <n v="96000"/>
    <n v="74500"/>
    <x v="4"/>
    <n v="21"/>
    <n v="1"/>
    <n v="1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636"/>
    <s v="Data Analyst Chemist - Quality System Contractor"/>
    <n v="2.2000000000000002"/>
    <s v="Rodan and Fields, LLC"/>
    <s v="San | CA"/>
    <s v="San Francisco | CA"/>
    <s v="501 - 1000"/>
    <n v="2002"/>
    <x v="0"/>
    <s v="Beauty &amp; Personal Accessories Stores"/>
    <s v="Retail"/>
    <s v="Unknown / Non-Applicable"/>
    <s v="Unknown"/>
    <n v="0"/>
    <n v="0"/>
    <n v="61000"/>
    <n v="110000"/>
    <n v="85500"/>
    <x v="6"/>
    <n v="21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637"/>
    <s v="Senior Scientist - Biostatistician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65000"/>
    <n v="96000"/>
    <n v="80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638"/>
    <s v="Research Scientist / Principal Research Scientist - Multiphysical Systems"/>
    <n v="4.5999999999999996"/>
    <s v="Mitsubishi Electric Research Labs"/>
    <s v="Cambridge | MA"/>
    <s v="Cambridge | MA"/>
    <s v="51 - 200"/>
    <n v="1991"/>
    <x v="5"/>
    <s v="Research &amp; Development"/>
    <s v="Business Services"/>
    <s v="10 million "/>
    <s v="Google, Amazon, NVIDIA"/>
    <n v="0"/>
    <n v="0"/>
    <n v="115000"/>
    <n v="220000"/>
    <n v="167500"/>
    <x v="8"/>
    <n v="32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639"/>
    <s v="Research Scientist, Machine Learning Department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71000"/>
    <n v="144000"/>
    <n v="107500"/>
    <x v="20"/>
    <n v="39"/>
    <n v="1"/>
    <n v="0"/>
    <n v="0"/>
    <n v="0"/>
    <n v="1"/>
    <n v="0"/>
    <n v="0"/>
    <n v="0"/>
    <n v="1"/>
    <n v="0"/>
    <n v="0"/>
    <n v="0"/>
    <n v="0"/>
    <n v="0"/>
    <n v="0"/>
    <n v="0"/>
    <x v="7"/>
    <s v="intermediate"/>
    <s v="Post Graduates"/>
  </r>
  <r>
    <n v="640"/>
    <s v="Foundational Community Supports Data Analyst"/>
    <n v="3.4"/>
    <s v="DESC"/>
    <s v="Seattle | WA"/>
    <s v="Seattle | WA"/>
    <s v="501 - 1000"/>
    <n v="1979"/>
    <x v="6"/>
    <s v="Social Assistance"/>
    <s v="Non-Profit"/>
    <s v="50 million "/>
    <s v="Unknown"/>
    <n v="0"/>
    <n v="0"/>
    <n v="32000"/>
    <n v="57000"/>
    <n v="44500"/>
    <x v="3"/>
    <n v="44"/>
    <n v="0"/>
    <n v="0"/>
    <n v="1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641"/>
    <s v="Senior Health Data Analyst, Star Ratings"/>
    <n v="3.3"/>
    <s v="Johns Hopkins Health Care"/>
    <s v="Glen | MD"/>
    <s v="Baltimore | MD"/>
    <s v="1001 - 5000"/>
    <n v="1889"/>
    <x v="0"/>
    <s v="Health Care Services &amp; Hospitals"/>
    <s v="Health Care"/>
    <s v="750 million"/>
    <s v="MedStar Health, University of Maryland Medical Center, LifeBridge Health"/>
    <n v="0"/>
    <n v="0"/>
    <n v="79000"/>
    <n v="136000"/>
    <n v="107500"/>
    <x v="1"/>
    <n v="134"/>
    <n v="0"/>
    <n v="0"/>
    <n v="0"/>
    <n v="0"/>
    <n v="1"/>
    <n v="0"/>
    <n v="0"/>
    <n v="0"/>
    <n v="0"/>
    <n v="0"/>
    <n v="0"/>
    <n v="0"/>
    <n v="0"/>
    <n v="0"/>
    <n v="0"/>
    <n v="0"/>
    <x v="2"/>
    <s v="Senior "/>
    <s v="Masters"/>
  </r>
  <r>
    <n v="642"/>
    <s v="Principal Research Scientist/Team Lead, Medicinal Chemistry - Oncology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20000"/>
    <n v="145000"/>
    <n v="132500"/>
    <x v="8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643"/>
    <s v="Sr. Data Analyst"/>
    <n v="3.7"/>
    <s v="Community Behavioral Health"/>
    <s v="Philadelphia | PA"/>
    <s v="Phila | PA"/>
    <s v="201 - 500"/>
    <n v="1994"/>
    <x v="0"/>
    <s v="Health Care Services &amp; Hospitals"/>
    <s v="Health Care"/>
    <s v="750 million"/>
    <s v="Unknown"/>
    <n v="0"/>
    <n v="0"/>
    <n v="50000"/>
    <n v="89000"/>
    <n v="69500"/>
    <x v="20"/>
    <n v="29"/>
    <n v="0"/>
    <n v="0"/>
    <n v="0"/>
    <n v="1"/>
    <n v="1"/>
    <n v="0"/>
    <n v="0"/>
    <n v="0"/>
    <n v="0"/>
    <n v="0"/>
    <n v="0"/>
    <n v="1"/>
    <n v="1"/>
    <n v="0"/>
    <n v="0"/>
    <n v="0"/>
    <x v="2"/>
    <s v="Senior "/>
    <s v="Graduates"/>
  </r>
  <r>
    <n v="644"/>
    <s v="Senior Engineer, Data Management Engineering"/>
    <n v="3.5"/>
    <s v="Western Digital"/>
    <s v="Milpitas | CA"/>
    <s v="San Jose | CA"/>
    <s v="10000+"/>
    <n v="1970"/>
    <x v="3"/>
    <s v="Computer Hardware &amp; Software"/>
    <s v="Information Technology"/>
    <s v="10 billion "/>
    <s v="Seagate Technology, Toshiba"/>
    <n v="0"/>
    <n v="0"/>
    <n v="68000"/>
    <n v="129000"/>
    <n v="98500"/>
    <x v="6"/>
    <n v="53"/>
    <n v="1"/>
    <n v="1"/>
    <n v="1"/>
    <n v="0"/>
    <n v="1"/>
    <n v="0"/>
    <n v="0"/>
    <n v="0"/>
    <n v="0"/>
    <n v="0"/>
    <n v="1"/>
    <n v="0"/>
    <n v="0"/>
    <n v="0"/>
    <n v="0"/>
    <n v="0"/>
    <x v="1"/>
    <s v="Senior "/>
    <s v="Graduates"/>
  </r>
  <r>
    <n v="645"/>
    <s v="Quality Control Scientist III- Analytical Development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8000"/>
    <n v="113000"/>
    <n v="80500"/>
    <x v="1"/>
    <n v="6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646"/>
    <s v="Clinical Scientist, Clinical Development"/>
    <n v="3.8"/>
    <s v="FORMA THERAPEUTICS"/>
    <s v="Watertown | MA"/>
    <s v="Watertown | MA"/>
    <s v="51 - 200"/>
    <n v="2008"/>
    <x v="0"/>
    <s v="Biotech &amp; Pharmaceuticals"/>
    <s v="Biotech &amp; Pharmaceuticals"/>
    <s v="25 million"/>
    <s v="Unknown"/>
    <n v="1"/>
    <n v="0"/>
    <n v="56000"/>
    <n v="97000"/>
    <n v="76500"/>
    <x v="8"/>
    <n v="15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647"/>
    <s v="Software Engineer Staff Scientist: Human Language Technologies"/>
    <n v="3.7"/>
    <s v="Raytheon"/>
    <s v="Cambridge | MD"/>
    <s v="Waltham | MA"/>
    <s v="10000+"/>
    <n v="1922"/>
    <x v="3"/>
    <s v="Aerospace &amp; Defense"/>
    <s v="Aerospace &amp; Defense"/>
    <s v="10 billion "/>
    <s v="Unknown"/>
    <n v="0"/>
    <n v="0"/>
    <n v="74000"/>
    <n v="124000"/>
    <n v="99000"/>
    <x v="1"/>
    <n v="101"/>
    <n v="1"/>
    <n v="0"/>
    <n v="0"/>
    <n v="0"/>
    <n v="1"/>
    <n v="0"/>
    <n v="0"/>
    <n v="0"/>
    <n v="0"/>
    <n v="0"/>
    <n v="0"/>
    <n v="0"/>
    <n v="0"/>
    <n v="0"/>
    <n v="0"/>
    <n v="0"/>
    <x v="1"/>
    <s v="intermediate"/>
    <s v="Graduates"/>
  </r>
  <r>
    <n v="648"/>
    <s v="Manager, Safety Scientist, Medical Safety &amp; Risk Management"/>
    <n v="3.8"/>
    <s v="Agios Pharmaceuticals"/>
    <s v="Cambridge | MA"/>
    <s v="Cambridge | MA"/>
    <s v="501 - 1000"/>
    <n v="2008"/>
    <x v="3"/>
    <s v="Biotech &amp; Pharmaceuticals"/>
    <s v="Biotech &amp; Pharmaceuticals"/>
    <s v="100 million "/>
    <s v="Unknown"/>
    <n v="0"/>
    <n v="0"/>
    <n v="68000"/>
    <n v="125000"/>
    <n v="96500"/>
    <x v="8"/>
    <n v="15"/>
    <n v="0"/>
    <n v="0"/>
    <n v="0"/>
    <n v="1"/>
    <n v="0"/>
    <n v="0"/>
    <n v="0"/>
    <n v="0"/>
    <n v="0"/>
    <n v="0"/>
    <n v="0"/>
    <n v="0"/>
    <n v="0"/>
    <n v="0"/>
    <n v="0"/>
    <n v="0"/>
    <x v="6"/>
    <s v="intermediate"/>
    <s v="Graduates"/>
  </r>
  <r>
    <n v="649"/>
    <s v="Assistant Director/Director, Office of Data Science"/>
    <n v="3.3"/>
    <s v="Liberty Mutual Insurance"/>
    <s v="Boston | MA"/>
    <s v="Boston | MA"/>
    <s v="10000+"/>
    <n v="1912"/>
    <x v="0"/>
    <s v="Insurance Carriers"/>
    <s v="Insurance"/>
    <s v="10 billion "/>
    <s v="Travelers, Allstate, State Farm"/>
    <n v="0"/>
    <n v="0"/>
    <n v="39000"/>
    <n v="67000"/>
    <n v="53000"/>
    <x v="8"/>
    <n v="111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Masters"/>
  </r>
  <r>
    <n v="650"/>
    <s v="Sr. Data Engineer | Big Data SaaS Pipeline"/>
    <n v="2.7"/>
    <s v="Bridg"/>
    <s v="Los | CA"/>
    <s v="Los Angeles | CA"/>
    <n v="500"/>
    <n v="2011"/>
    <x v="0"/>
    <s v="Enterprise Software &amp; Network Solutions"/>
    <s v="Information Technology"/>
    <s v="Unknown / Non-Applicable"/>
    <s v="Unknown"/>
    <n v="0"/>
    <n v="0"/>
    <n v="71000"/>
    <n v="135000"/>
    <n v="103000"/>
    <x v="6"/>
    <n v="12"/>
    <n v="0"/>
    <n v="1"/>
    <n v="1"/>
    <n v="0"/>
    <n v="0"/>
    <n v="0"/>
    <n v="0"/>
    <n v="0"/>
    <n v="0"/>
    <n v="0"/>
    <n v="1"/>
    <n v="0"/>
    <n v="0"/>
    <n v="1"/>
    <n v="0"/>
    <n v="0"/>
    <x v="3"/>
    <s v="Senior "/>
    <s v="Graduates"/>
  </r>
  <r>
    <n v="651"/>
    <s v="Senior Risk Data Scientist"/>
    <n v="3.8"/>
    <s v="Bill.com"/>
    <s v="Palo | CA"/>
    <s v="Palo Alto | CA"/>
    <s v="501 - 1000"/>
    <n v="2006"/>
    <x v="3"/>
    <s v="Financial Transaction Processing"/>
    <s v="Finance"/>
    <s v="100 million "/>
    <s v="Unknown"/>
    <n v="0"/>
    <n v="0"/>
    <n v="107000"/>
    <n v="172000"/>
    <n v="139500"/>
    <x v="6"/>
    <n v="17"/>
    <n v="0"/>
    <n v="0"/>
    <n v="0"/>
    <n v="0"/>
    <n v="1"/>
    <n v="1"/>
    <n v="0"/>
    <n v="0"/>
    <n v="0"/>
    <n v="0"/>
    <n v="0"/>
    <n v="0"/>
    <n v="0"/>
    <n v="0"/>
    <n v="0"/>
    <n v="0"/>
    <x v="0"/>
    <s v="Senior "/>
    <s v="Masters"/>
  </r>
  <r>
    <n v="652"/>
    <s v="Data Scientist in Artificial Intelligence Early Career"/>
    <n v="3.8"/>
    <s v="Pacific Northwest National Laboratory"/>
    <s v="Richland | WA"/>
    <s v="Richland | WA"/>
    <s v="1001 - 5000"/>
    <n v="1965"/>
    <x v="2"/>
    <s v="Energy"/>
    <s v="Oil, Gas, Energy &amp; Utilities"/>
    <s v="750 million"/>
    <s v="Oak Ridge National Laboratory, National Renewable Energy Lab, Los Alamos National Laboratory"/>
    <n v="0"/>
    <n v="0"/>
    <n v="49000"/>
    <n v="85000"/>
    <n v="67000"/>
    <x v="3"/>
    <n v="58"/>
    <n v="0"/>
    <n v="0"/>
    <n v="0"/>
    <n v="0"/>
    <n v="0"/>
    <n v="0"/>
    <n v="0"/>
    <n v="1"/>
    <n v="0"/>
    <n v="1"/>
    <n v="0"/>
    <n v="0"/>
    <n v="0"/>
    <n v="0"/>
    <n v="0"/>
    <n v="0"/>
    <x v="0"/>
    <s v="intermediate"/>
    <s v="Masters"/>
  </r>
  <r>
    <n v="653"/>
    <s v="Consultant - Analytics Consulting"/>
    <n v="3"/>
    <s v="Infosys"/>
    <s v="Hartford | CT"/>
    <s v="Bengaluru | India"/>
    <s v="10000+"/>
    <n v="1981"/>
    <x v="3"/>
    <s v="IT Services"/>
    <s v="Information Technology"/>
    <s v="10 billion "/>
    <s v="Tata Consultancy Services, Accenture, Cognizant Technology Solutions"/>
    <n v="0"/>
    <n v="0"/>
    <n v="54000"/>
    <n v="71000"/>
    <n v="62500"/>
    <x v="14"/>
    <n v="42"/>
    <n v="0"/>
    <n v="0"/>
    <n v="0"/>
    <n v="1"/>
    <n v="0"/>
    <n v="0"/>
    <n v="0"/>
    <n v="0"/>
    <n v="0"/>
    <n v="0"/>
    <n v="0"/>
    <n v="0"/>
    <n v="0"/>
    <n v="0"/>
    <n v="0"/>
    <n v="0"/>
    <x v="4"/>
    <s v="intermediate"/>
    <s v="Graduates"/>
  </r>
  <r>
    <n v="654"/>
    <s v="Scientist - CVRM Metabolism - in vivo pharmacology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61000"/>
    <n v="123000"/>
    <n v="92000"/>
    <x v="1"/>
    <n v="110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655"/>
    <s v="Data Analyst"/>
    <n v="3.6"/>
    <s v="AXION Healthcare Solutions"/>
    <s v="New | NY"/>
    <s v="New York | NY"/>
    <n v="500"/>
    <n v="1980"/>
    <x v="0"/>
    <s v="Health Care Services &amp; Hospitals"/>
    <s v="Health Care"/>
    <s v="25 million"/>
    <s v="The Execu|Search Group, Prime Staffing"/>
    <n v="0"/>
    <n v="0"/>
    <n v="47000"/>
    <n v="85000"/>
    <n v="66000"/>
    <x v="4"/>
    <n v="43"/>
    <n v="0"/>
    <n v="0"/>
    <n v="0"/>
    <n v="1"/>
    <n v="0"/>
    <n v="0"/>
    <n v="0"/>
    <n v="0"/>
    <n v="0"/>
    <n v="0"/>
    <n v="0"/>
    <n v="0"/>
    <n v="0"/>
    <n v="0"/>
    <n v="0"/>
    <n v="0"/>
    <x v="2"/>
    <s v="intermediate"/>
    <s v="Graduates"/>
  </r>
  <r>
    <n v="656"/>
    <s v="Data Engineer"/>
    <n v="3.5"/>
    <s v="Alignment Healthcare"/>
    <s v="Orange | CA"/>
    <s v="Orange | CA"/>
    <s v="501 - 1000"/>
    <n v="2013"/>
    <x v="0"/>
    <s v="Health Care Services &amp; Hospitals"/>
    <s v="Health Care"/>
    <s v="Unknown / Non-Applicable"/>
    <s v="Unknown"/>
    <n v="0"/>
    <n v="0"/>
    <n v="65000"/>
    <n v="124000"/>
    <n v="94500"/>
    <x v="6"/>
    <n v="10"/>
    <n v="1"/>
    <n v="1"/>
    <n v="1"/>
    <n v="1"/>
    <n v="1"/>
    <n v="0"/>
    <n v="0"/>
    <n v="0"/>
    <n v="0"/>
    <n v="0"/>
    <n v="1"/>
    <n v="0"/>
    <n v="0"/>
    <n v="0"/>
    <n v="0"/>
    <n v="0"/>
    <x v="3"/>
    <s v="intermediate"/>
    <s v="Masters"/>
  </r>
  <r>
    <n v="657"/>
    <s v="Data Scientist"/>
    <n v="3.6"/>
    <s v="TRANZACT"/>
    <s v="Fort | NJ"/>
    <s v="Fort Lee | NJ"/>
    <s v="1001 - 5000"/>
    <n v="1989"/>
    <x v="0"/>
    <s v="Advertising &amp; Marketing"/>
    <s v="Business Services"/>
    <s v="Unknown / Non-Applicable"/>
    <s v="Unknown"/>
    <n v="0"/>
    <n v="0"/>
    <n v="87000"/>
    <n v="141000"/>
    <n v="114000"/>
    <x v="9"/>
    <n v="34"/>
    <n v="1"/>
    <n v="0"/>
    <n v="1"/>
    <n v="1"/>
    <n v="1"/>
    <n v="0"/>
    <n v="0"/>
    <n v="0"/>
    <n v="0"/>
    <n v="0"/>
    <n v="1"/>
    <n v="1"/>
    <n v="1"/>
    <n v="0"/>
    <n v="0"/>
    <n v="0"/>
    <x v="0"/>
    <s v="intermediate"/>
    <s v="Graduates"/>
  </r>
  <r>
    <n v="658"/>
    <s v="Data Scientist"/>
    <n v="4.2"/>
    <s v="ExecOnline"/>
    <s v="New | NY"/>
    <s v="New York | NY"/>
    <s v="51 - 200"/>
    <n v="2012"/>
    <x v="0"/>
    <s v="Education Training Services"/>
    <s v="Education"/>
    <s v="Unknown / Non-Applicable"/>
    <s v="Harvard Business School, Coursera, edX"/>
    <n v="0"/>
    <n v="0"/>
    <n v="56000"/>
    <n v="95000"/>
    <n v="75500"/>
    <x v="4"/>
    <n v="11"/>
    <n v="1"/>
    <n v="0"/>
    <n v="1"/>
    <n v="0"/>
    <n v="1"/>
    <n v="0"/>
    <n v="0"/>
    <n v="0"/>
    <n v="0"/>
    <n v="0"/>
    <n v="1"/>
    <n v="1"/>
    <n v="0"/>
    <n v="0"/>
    <n v="0"/>
    <n v="0"/>
    <x v="0"/>
    <s v="intermediate"/>
    <s v="Graduates"/>
  </r>
  <r>
    <n v="659"/>
    <s v="Data Scientist"/>
    <n v="3.5"/>
    <s v="Charter Spectrum"/>
    <s v="Maryland | MO"/>
    <s v="North Salt Lake | UT"/>
    <n v="500"/>
    <s v="Unknown"/>
    <x v="8"/>
    <s v="K-12 Education"/>
    <s v="Education"/>
    <s v="10 million "/>
    <s v="Unknown"/>
    <n v="0"/>
    <n v="0"/>
    <n v="71000"/>
    <n v="121000"/>
    <n v="96000"/>
    <x v="19"/>
    <s v="Unknown"/>
    <n v="0"/>
    <n v="0"/>
    <n v="0"/>
    <n v="1"/>
    <n v="1"/>
    <n v="0"/>
    <n v="0"/>
    <n v="0"/>
    <n v="0"/>
    <n v="0"/>
    <n v="1"/>
    <n v="0"/>
    <n v="0"/>
    <n v="0"/>
    <n v="0"/>
    <n v="0"/>
    <x v="0"/>
    <s v="intermediate"/>
    <s v="Post Graduates"/>
  </r>
  <r>
    <n v="660"/>
    <s v="Machine Learning Engineer"/>
    <n v="4"/>
    <s v="Mteq"/>
    <s v="Fort | VA"/>
    <s v="Lorton | VA"/>
    <s v="501 - 1000"/>
    <n v="1954"/>
    <x v="3"/>
    <s v="Aerospace &amp; Defense"/>
    <s v="Aerospace &amp; Defense"/>
    <s v="500 million"/>
    <s v="Harris, Fibertek"/>
    <n v="0"/>
    <n v="0"/>
    <n v="62000"/>
    <n v="112000"/>
    <n v="87000"/>
    <x v="7"/>
    <n v="69"/>
    <n v="1"/>
    <n v="0"/>
    <n v="0"/>
    <n v="0"/>
    <n v="0"/>
    <n v="0"/>
    <n v="0"/>
    <n v="0"/>
    <n v="0"/>
    <n v="0"/>
    <n v="0"/>
    <n v="0"/>
    <n v="0"/>
    <n v="0"/>
    <n v="0"/>
    <n v="0"/>
    <x v="7"/>
    <s v="intermediate"/>
    <s v="Graduates"/>
  </r>
  <r>
    <n v="661"/>
    <s v="Data Scientist"/>
    <n v="3.7"/>
    <s v="Brillient"/>
    <s v="Silver | MD"/>
    <s v="Reston | VA"/>
    <s v="201 - 500"/>
    <n v="2006"/>
    <x v="0"/>
    <s v="IT Services"/>
    <s v="Information Technology"/>
    <s v="50 million "/>
    <s v="Unknown"/>
    <n v="0"/>
    <n v="0"/>
    <n v="64000"/>
    <n v="108000"/>
    <n v="86000"/>
    <x v="1"/>
    <n v="17"/>
    <n v="1"/>
    <n v="0"/>
    <n v="0"/>
    <n v="1"/>
    <n v="0"/>
    <n v="1"/>
    <n v="0"/>
    <n v="0"/>
    <n v="0"/>
    <n v="0"/>
    <n v="0"/>
    <n v="0"/>
    <n v="0"/>
    <n v="0"/>
    <n v="0"/>
    <n v="0"/>
    <x v="0"/>
    <s v="intermediate"/>
    <s v="Masters"/>
  </r>
  <r>
    <n v="662"/>
    <s v="Senior Data Scientist"/>
    <n v="4.4000000000000004"/>
    <s v="Entefy"/>
    <s v="Palo | CA"/>
    <s v="Palo Alto | CA"/>
    <n v="500"/>
    <n v="2012"/>
    <x v="0"/>
    <s v="Internet"/>
    <s v="Information Technology"/>
    <s v="Unknown / Non-Applicable"/>
    <s v="Unknown"/>
    <n v="0"/>
    <n v="0"/>
    <n v="89000"/>
    <n v="144000"/>
    <n v="116500"/>
    <x v="6"/>
    <n v="11"/>
    <n v="1"/>
    <n v="0"/>
    <n v="0"/>
    <n v="0"/>
    <n v="1"/>
    <n v="0"/>
    <n v="0"/>
    <n v="0"/>
    <n v="0"/>
    <n v="0"/>
    <n v="0"/>
    <n v="0"/>
    <n v="0"/>
    <n v="0"/>
    <n v="0"/>
    <n v="0"/>
    <x v="0"/>
    <s v="Senior "/>
    <s v="Masters"/>
  </r>
  <r>
    <n v="663"/>
    <s v="Senior Scientist (Neuroscience)"/>
    <n v="3.5"/>
    <s v="Sunovion"/>
    <s v="Marlborough | MA"/>
    <s v="Marlborough | MA"/>
    <s v="1001 - 5000"/>
    <n v="2010"/>
    <x v="0"/>
    <s v="Biotech &amp; Pharmaceuticals"/>
    <s v="Biotech &amp; Pharmaceuticals"/>
    <s v="2 billion "/>
    <s v="Shire, GlaxoSmithKline, Allergan"/>
    <n v="0"/>
    <n v="0"/>
    <n v="109000"/>
    <n v="200000"/>
    <n v="154500"/>
    <x v="8"/>
    <n v="13"/>
    <n v="1"/>
    <n v="0"/>
    <n v="0"/>
    <n v="1"/>
    <n v="0"/>
    <n v="0"/>
    <n v="0"/>
    <n v="0"/>
    <n v="0"/>
    <n v="0"/>
    <n v="0"/>
    <n v="0"/>
    <n v="0"/>
    <n v="0"/>
    <n v="0"/>
    <n v="0"/>
    <x v="1"/>
    <s v="Senior "/>
    <s v="Post Graduates"/>
  </r>
  <r>
    <n v="664"/>
    <s v="Marketing Data Analyst"/>
    <n v="3.6"/>
    <s v="San Manuel Casino"/>
    <s v="Highland | CA"/>
    <s v="Highland | CA"/>
    <s v="1001 - 5000"/>
    <n v="1986"/>
    <x v="0"/>
    <s v="Gambling"/>
    <s v="Arts, Entertainment &amp; Recreation"/>
    <s v="500 million"/>
    <s v="Unknown"/>
    <n v="0"/>
    <n v="0"/>
    <n v="35000"/>
    <n v="62000"/>
    <n v="48500"/>
    <x v="6"/>
    <n v="37"/>
    <n v="0"/>
    <n v="0"/>
    <n v="0"/>
    <n v="1"/>
    <n v="1"/>
    <n v="1"/>
    <n v="0"/>
    <n v="0"/>
    <n v="0"/>
    <n v="0"/>
    <n v="0"/>
    <n v="1"/>
    <n v="0"/>
    <n v="0"/>
    <n v="0"/>
    <n v="1"/>
    <x v="2"/>
    <s v="intermediate"/>
    <s v="Masters"/>
  </r>
  <r>
    <n v="665"/>
    <s v="Machine Learning Engineer - Regulatory"/>
    <n v="3.7"/>
    <s v="Cboe Global Markets"/>
    <s v="Lenexa | KS"/>
    <s v="Chicago | IL"/>
    <s v="501 - 1000"/>
    <n v="1973"/>
    <x v="3"/>
    <s v="Stock Exchanges"/>
    <s v="Finance"/>
    <s v="750 million"/>
    <s v="Unknown"/>
    <n v="0"/>
    <n v="0"/>
    <n v="61000"/>
    <n v="113000"/>
    <n v="87000"/>
    <x v="36"/>
    <n v="50"/>
    <n v="1"/>
    <n v="0"/>
    <n v="0"/>
    <n v="1"/>
    <n v="1"/>
    <n v="0"/>
    <n v="0"/>
    <n v="0"/>
    <n v="0"/>
    <n v="0"/>
    <n v="1"/>
    <n v="0"/>
    <n v="0"/>
    <n v="0"/>
    <n v="0"/>
    <n v="0"/>
    <x v="7"/>
    <s v="intermediate"/>
    <s v="Graduates"/>
  </r>
  <r>
    <n v="666"/>
    <s v="Data Engineer"/>
    <n v="3.4"/>
    <s v="Trace3"/>
    <s v="Houston | TX"/>
    <s v="Irvine | CA"/>
    <s v="501 - 1000"/>
    <n v="2002"/>
    <x v="0"/>
    <s v="IT Services"/>
    <s v="Information Technology"/>
    <s v="2 billion "/>
    <s v="World Wide Technology, Presidio, Optiv"/>
    <n v="0"/>
    <n v="0"/>
    <n v="55000"/>
    <n v="105000"/>
    <n v="80000"/>
    <x v="5"/>
    <n v="21"/>
    <n v="1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667"/>
    <s v="Medical Laboratory Scientist"/>
    <n v="4"/>
    <s v="Texas Health Huguley Hospital"/>
    <s v="Burleson | TX"/>
    <s v="Arlington | TX"/>
    <s v="1001 - 5000"/>
    <n v="1977"/>
    <x v="4"/>
    <s v="Health Care Services &amp; Hospitals"/>
    <s v="Health Care"/>
    <s v="100 million "/>
    <s v="Unknown"/>
    <n v="1"/>
    <n v="0"/>
    <n v="37000"/>
    <n v="52000"/>
    <n v="44500"/>
    <x v="5"/>
    <n v="46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668"/>
    <s v="Principal Data Scientist"/>
    <n v="3.7"/>
    <s v="Northrop Grumman"/>
    <s v="San | CA"/>
    <s v="Falls Church | VA"/>
    <s v="10000+"/>
    <n v="1939"/>
    <x v="3"/>
    <s v="Aerospace &amp; Defense"/>
    <s v="Aerospace &amp; Defense"/>
    <s v="10 billion "/>
    <s v="Unknown"/>
    <n v="0"/>
    <n v="0"/>
    <n v="135000"/>
    <n v="211000"/>
    <n v="173000"/>
    <x v="6"/>
    <n v="84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669"/>
    <s v="R&amp;D Specialist/ Food Scientist"/>
    <n v="2.4"/>
    <s v="Teasdale Latin Foods"/>
    <s v="Hoopeston | IL"/>
    <s v="Flower Mound | TX"/>
    <s v="501 - 1000"/>
    <s v="Unknown"/>
    <x v="0"/>
    <s v="Food &amp; Beverage Manufacturing"/>
    <s v="Manufacturing"/>
    <s v="500 million"/>
    <s v="Unknown"/>
    <n v="0"/>
    <n v="0"/>
    <n v="39000"/>
    <n v="66000"/>
    <n v="52500"/>
    <x v="11"/>
    <s v="Unknown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670"/>
    <s v="Data Engineer"/>
    <n v="3.5"/>
    <s v="Saama Technologies Inc"/>
    <s v="Phoenix | AZ"/>
    <s v="Campbell | CA"/>
    <s v="501 - 1000"/>
    <n v="1997"/>
    <x v="0"/>
    <s v="Biotech &amp; Pharmaceuticals"/>
    <s v="Biotech &amp; Pharmaceuticals"/>
    <s v="Unknown / Non-Applicable"/>
    <s v="Accenture, Deloitte, IBM"/>
    <n v="0"/>
    <n v="0"/>
    <n v="57000"/>
    <n v="80000"/>
    <n v="68500"/>
    <x v="26"/>
    <n v="26"/>
    <n v="1"/>
    <n v="1"/>
    <n v="0"/>
    <n v="0"/>
    <n v="0"/>
    <n v="0"/>
    <n v="0"/>
    <n v="0"/>
    <n v="0"/>
    <n v="0"/>
    <n v="0"/>
    <n v="0"/>
    <n v="0"/>
    <n v="0"/>
    <n v="0"/>
    <n v="0"/>
    <x v="3"/>
    <s v="intermediate"/>
    <s v="Graduates"/>
  </r>
  <r>
    <n v="671"/>
    <s v="Associate Principal Scientist, Pharmacogenomics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63000"/>
    <n v="127000"/>
    <n v="95000"/>
    <x v="1"/>
    <n v="110"/>
    <n v="0"/>
    <n v="0"/>
    <n v="0"/>
    <n v="0"/>
    <n v="0"/>
    <n v="0"/>
    <n v="0"/>
    <n v="0"/>
    <n v="0"/>
    <n v="0"/>
    <n v="0"/>
    <n v="0"/>
    <n v="0"/>
    <n v="0"/>
    <n v="0"/>
    <n v="0"/>
    <x v="1"/>
    <s v="Senior "/>
    <s v="Post Graduates"/>
  </r>
  <r>
    <n v="672"/>
    <s v="Data Scientist - Systems Engineering"/>
    <n v="3.2"/>
    <s v="MITRE"/>
    <s v="Bedford | MA"/>
    <s v="Bedford | MA"/>
    <s v="5001 - 10000"/>
    <n v="1958"/>
    <x v="6"/>
    <s v="Federal Agencies"/>
    <s v="Government"/>
    <s v="2 billion "/>
    <s v="Battelle, General Atomics, SAIC"/>
    <n v="0"/>
    <n v="0"/>
    <n v="50000"/>
    <n v="89000"/>
    <n v="69500"/>
    <x v="8"/>
    <n v="65"/>
    <n v="1"/>
    <n v="0"/>
    <n v="0"/>
    <n v="1"/>
    <n v="1"/>
    <n v="1"/>
    <n v="0"/>
    <n v="0"/>
    <n v="0"/>
    <n v="0"/>
    <n v="0"/>
    <n v="1"/>
    <n v="0"/>
    <n v="0"/>
    <n v="1"/>
    <n v="0"/>
    <x v="0"/>
    <s v="intermediate"/>
    <s v="Graduates"/>
  </r>
  <r>
    <n v="673"/>
    <s v="Senior Data Scientist"/>
    <n v="4.4000000000000004"/>
    <s v="The David J. Joseph Company"/>
    <s v="Cincinnati | OH"/>
    <s v="Cincinnati | OH"/>
    <s v="201 - 500"/>
    <n v="1885"/>
    <x v="5"/>
    <s v="Metals Brokers"/>
    <s v="Mining &amp; Metals"/>
    <s v="Unknown / Non-Applicable"/>
    <s v="Unknown"/>
    <n v="0"/>
    <n v="0"/>
    <n v="82000"/>
    <n v="132000"/>
    <n v="107000"/>
    <x v="17"/>
    <n v="138"/>
    <n v="1"/>
    <n v="0"/>
    <n v="1"/>
    <n v="0"/>
    <n v="1"/>
    <n v="0"/>
    <n v="0"/>
    <n v="0"/>
    <n v="0"/>
    <n v="0"/>
    <n v="0"/>
    <n v="1"/>
    <n v="1"/>
    <n v="0"/>
    <n v="0"/>
    <n v="0"/>
    <x v="0"/>
    <s v="Senior "/>
    <s v="Masters"/>
  </r>
  <r>
    <n v="674"/>
    <s v="Data Scientist SR"/>
    <n v="3.9"/>
    <s v="The Buffalo Group"/>
    <s v="Charlottesville | VA"/>
    <s v="Reston | VA"/>
    <s v="501 - 1000"/>
    <n v="2010"/>
    <x v="0"/>
    <s v="IT Services"/>
    <s v="Information Technology"/>
    <s v="500 million"/>
    <s v="ManTech, Booz Allen Hamilton, Leidos"/>
    <n v="0"/>
    <n v="0"/>
    <n v="85000"/>
    <n v="139000"/>
    <n v="112000"/>
    <x v="7"/>
    <n v="13"/>
    <n v="1"/>
    <n v="1"/>
    <n v="0"/>
    <n v="0"/>
    <n v="1"/>
    <n v="0"/>
    <n v="0"/>
    <n v="0"/>
    <n v="0"/>
    <n v="0"/>
    <n v="1"/>
    <n v="0"/>
    <n v="0"/>
    <n v="0"/>
    <n v="0"/>
    <n v="0"/>
    <x v="0"/>
    <s v="Senior "/>
    <s v="Masters"/>
  </r>
  <r>
    <n v="675"/>
    <s v="Data Scientist"/>
    <n v="3.4"/>
    <s v="CompQsoft"/>
    <s v="Washington | DC"/>
    <s v="Houston | TX"/>
    <s v="51 - 200"/>
    <n v="1997"/>
    <x v="0"/>
    <s v="Consulting"/>
    <s v="Business Services"/>
    <s v="25 million"/>
    <s v="Unknown"/>
    <n v="0"/>
    <n v="0"/>
    <n v="72000"/>
    <n v="121000"/>
    <n v="96500"/>
    <x v="16"/>
    <n v="26"/>
    <n v="1"/>
    <n v="0"/>
    <n v="0"/>
    <n v="0"/>
    <n v="0"/>
    <n v="0"/>
    <n v="0"/>
    <n v="0"/>
    <n v="0"/>
    <n v="1"/>
    <n v="0"/>
    <n v="0"/>
    <n v="0"/>
    <n v="0"/>
    <n v="0"/>
    <n v="0"/>
    <x v="0"/>
    <s v="intermediate"/>
    <s v="Masters"/>
  </r>
  <r>
    <n v="676"/>
    <s v="Scientist, Bacteriology"/>
    <n v="2.1"/>
    <s v="Cerus Corporation"/>
    <s v="Concord | CA"/>
    <s v="Concord | CA"/>
    <s v="201 - 500"/>
    <s v="Unknown"/>
    <x v="3"/>
    <s v="Biotech &amp; Pharmaceuticals"/>
    <s v="Biotech &amp; Pharmaceuticals"/>
    <s v="50 million "/>
    <s v="Unknown"/>
    <n v="0"/>
    <n v="0"/>
    <n v="74000"/>
    <n v="149000"/>
    <n v="111500"/>
    <x v="6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677"/>
    <s v="Associate Director, Platform and DevOps- Data Engineering and Aritifical Intelligence"/>
    <n v="3.7"/>
    <s v="Takeda Pharmaceuticals"/>
    <s v="Cambridge | MA"/>
    <s v="OSAKA | Japan"/>
    <s v="10000+"/>
    <n v="1781"/>
    <x v="3"/>
    <s v="Biotech &amp; Pharmaceuticals"/>
    <s v="Biotech &amp; Pharmaceuticals"/>
    <s v="10 billion "/>
    <s v="Novartis, Baxter, Pfizer"/>
    <n v="0"/>
    <n v="0"/>
    <n v="113000"/>
    <n v="196000"/>
    <n v="154500"/>
    <x v="8"/>
    <n v="242"/>
    <n v="0"/>
    <n v="1"/>
    <n v="1"/>
    <n v="1"/>
    <n v="1"/>
    <n v="0"/>
    <n v="0"/>
    <n v="0"/>
    <n v="0"/>
    <n v="0"/>
    <n v="1"/>
    <n v="0"/>
    <n v="0"/>
    <n v="0"/>
    <n v="1"/>
    <n v="0"/>
    <x v="3"/>
    <s v="intermediate"/>
    <s v="Masters"/>
  </r>
  <r>
    <n v="678"/>
    <s v="Data Scientist"/>
    <n v="3.4"/>
    <s v="Remedy BPCI Partners, LLC."/>
    <s v="New | NY"/>
    <s v="Norwalk | CT"/>
    <s v="201 - 500"/>
    <n v="2011"/>
    <x v="0"/>
    <s v="Health Care Services &amp; Hospitals"/>
    <s v="Health Care"/>
    <s v="Unknown / Non-Applicable"/>
    <s v="Healthfirst (New York), naviHealth"/>
    <n v="0"/>
    <n v="0"/>
    <n v="69000"/>
    <n v="121000"/>
    <n v="95000"/>
    <x v="4"/>
    <n v="12"/>
    <n v="1"/>
    <n v="1"/>
    <n v="1"/>
    <n v="0"/>
    <n v="1"/>
    <n v="0"/>
    <n v="0"/>
    <n v="0"/>
    <n v="0"/>
    <n v="0"/>
    <n v="0"/>
    <n v="1"/>
    <n v="0"/>
    <n v="0"/>
    <n v="0"/>
    <n v="0"/>
    <x v="0"/>
    <s v="intermediate"/>
    <s v="Graduates"/>
  </r>
  <r>
    <n v="679"/>
    <s v="Data Scientist"/>
    <n v="4"/>
    <s v="Strategic Financial Solutions"/>
    <s v="New | NY"/>
    <s v="New York | NY"/>
    <s v="501 - 1000"/>
    <n v="2007"/>
    <x v="0"/>
    <s v="Consumer Product Rental"/>
    <s v="Consumer Services"/>
    <s v="Unknown / Non-Applicable"/>
    <s v="National Debt Relief, Freedom Financial Network"/>
    <n v="0"/>
    <n v="0"/>
    <n v="71000"/>
    <n v="124000"/>
    <n v="97500"/>
    <x v="4"/>
    <n v="16"/>
    <n v="1"/>
    <n v="0"/>
    <n v="0"/>
    <n v="1"/>
    <n v="1"/>
    <n v="0"/>
    <n v="0"/>
    <n v="0"/>
    <n v="0"/>
    <n v="0"/>
    <n v="0"/>
    <n v="0"/>
    <n v="0"/>
    <n v="0"/>
    <n v="0"/>
    <n v="0"/>
    <x v="0"/>
    <s v="intermediate"/>
    <s v="Graduates"/>
  </r>
  <r>
    <n v="680"/>
    <s v="Senior Data Scientist"/>
    <n v="4.4000000000000004"/>
    <s v="Maven Wave Partners"/>
    <s v="Chicago | IL"/>
    <s v="Chicago | IL"/>
    <s v="201 - 500"/>
    <n v="2008"/>
    <x v="0"/>
    <s v="Consulting"/>
    <s v="Business Services"/>
    <s v="100 million "/>
    <s v="Unknown"/>
    <n v="0"/>
    <n v="0"/>
    <n v="97000"/>
    <n v="160000"/>
    <n v="128500"/>
    <x v="11"/>
    <n v="15"/>
    <n v="1"/>
    <n v="0"/>
    <n v="1"/>
    <n v="1"/>
    <n v="1"/>
    <n v="0"/>
    <n v="0"/>
    <n v="0"/>
    <n v="0"/>
    <n v="0"/>
    <n v="1"/>
    <n v="1"/>
    <n v="0"/>
    <n v="0"/>
    <n v="0"/>
    <n v="0"/>
    <x v="0"/>
    <s v="Senior "/>
    <s v="Graduates"/>
  </r>
  <r>
    <n v="681"/>
    <s v="Senior Research Scientist-Machine Learning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81000"/>
    <n v="167000"/>
    <n v="124000"/>
    <x v="20"/>
    <n v="39"/>
    <n v="0"/>
    <n v="0"/>
    <n v="0"/>
    <n v="0"/>
    <n v="0"/>
    <n v="0"/>
    <n v="0"/>
    <n v="0"/>
    <n v="0"/>
    <n v="0"/>
    <n v="0"/>
    <n v="0"/>
    <n v="0"/>
    <n v="0"/>
    <n v="0"/>
    <n v="0"/>
    <x v="7"/>
    <s v="Senior "/>
    <s v="Post Graduates"/>
  </r>
  <r>
    <n v="682"/>
    <s v="Principal Data Scientist"/>
    <n v="3.2"/>
    <s v="The Climate Corporation"/>
    <s v="San | CA"/>
    <s v="San Francisco | CA"/>
    <s v="501 - 1000"/>
    <n v="2006"/>
    <x v="5"/>
    <s v="Enterprise Software &amp; Network Solutions"/>
    <s v="Information Technology"/>
    <s v="Unknown / Non-Applicable"/>
    <s v="Granular, Intuit, John Deere"/>
    <n v="0"/>
    <n v="0"/>
    <n v="150000"/>
    <n v="238000"/>
    <n v="194000"/>
    <x v="6"/>
    <n v="17"/>
    <n v="0"/>
    <n v="0"/>
    <n v="1"/>
    <n v="1"/>
    <n v="0"/>
    <n v="0"/>
    <n v="0"/>
    <n v="0"/>
    <n v="0"/>
    <n v="0"/>
    <n v="0"/>
    <n v="0"/>
    <n v="0"/>
    <n v="0"/>
    <n v="0"/>
    <n v="0"/>
    <x v="0"/>
    <s v="Senior "/>
    <s v="Graduates"/>
  </r>
  <r>
    <n v="683"/>
    <s v="Clinical Laboratory Scientist"/>
    <n v="3.7"/>
    <s v="Vail Health"/>
    <s v="Vail | CO"/>
    <s v="Vail | CO"/>
    <s v="501 - 1000"/>
    <n v="1966"/>
    <x v="4"/>
    <s v="Health Care Services &amp; Hospitals"/>
    <s v="Health Care"/>
    <s v="500 million"/>
    <s v="Unknown"/>
    <n v="1"/>
    <n v="0"/>
    <n v="49000"/>
    <n v="81000"/>
    <n v="65000"/>
    <x v="10"/>
    <n v="5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684"/>
    <s v="Data Analyst 1, full-time contract worker for up to 12 months"/>
    <n v="4.2"/>
    <s v="The Church of Jesus Christ of Latter-day Saints"/>
    <s v="Salt | UT"/>
    <s v="Salt Lake City | UT"/>
    <s v="10000+"/>
    <s v="Unknown"/>
    <x v="6"/>
    <s v="Religious Organizations"/>
    <s v="Non-Profit"/>
    <s v="Unknown / Non-Applicable"/>
    <s v="Unknown"/>
    <n v="0"/>
    <n v="0"/>
    <n v="35000"/>
    <n v="65000"/>
    <n v="50000"/>
    <x v="29"/>
    <s v="Unknown"/>
    <n v="0"/>
    <n v="0"/>
    <n v="1"/>
    <n v="1"/>
    <n v="1"/>
    <n v="0"/>
    <n v="0"/>
    <n v="0"/>
    <n v="0"/>
    <n v="0"/>
    <n v="0"/>
    <n v="0"/>
    <n v="0"/>
    <n v="0"/>
    <n v="0"/>
    <n v="0"/>
    <x v="2"/>
    <s v="intermediate"/>
    <s v="Graduates"/>
  </r>
  <r>
    <n v="685"/>
    <s v="Data Scientist"/>
    <n v="3.5"/>
    <s v="Crossix Solutions"/>
    <s v="New | NY"/>
    <s v="New York | NY"/>
    <s v="201 - 500"/>
    <n v="2005"/>
    <x v="3"/>
    <s v="Advertising &amp; Marketing"/>
    <s v="Business Services"/>
    <s v="Unknown / Non-Applicable"/>
    <s v="Unknown"/>
    <n v="0"/>
    <n v="0"/>
    <n v="77000"/>
    <n v="132000"/>
    <n v="104500"/>
    <x v="4"/>
    <n v="18"/>
    <n v="1"/>
    <n v="1"/>
    <n v="1"/>
    <n v="1"/>
    <n v="1"/>
    <n v="0"/>
    <n v="0"/>
    <n v="0"/>
    <n v="0"/>
    <n v="0"/>
    <n v="0"/>
    <n v="0"/>
    <n v="0"/>
    <n v="0"/>
    <n v="0"/>
    <n v="0"/>
    <x v="0"/>
    <s v="intermediate"/>
    <s v="Masters"/>
  </r>
  <r>
    <n v="686"/>
    <s v="Data Scientist"/>
    <n v="4.3"/>
    <s v="Solugenix Corporation"/>
    <s v="Phoenix | AZ"/>
    <s v="Brea | CA"/>
    <s v="201 - 500"/>
    <n v="1969"/>
    <x v="0"/>
    <s v="IT Services"/>
    <s v="Information Technology"/>
    <s v="100 million "/>
    <s v="Unknown"/>
    <n v="0"/>
    <n v="0"/>
    <n v="51000"/>
    <n v="88000"/>
    <n v="69500"/>
    <x v="26"/>
    <n v="54"/>
    <n v="1"/>
    <n v="0"/>
    <n v="0"/>
    <n v="1"/>
    <n v="1"/>
    <n v="1"/>
    <n v="0"/>
    <n v="0"/>
    <n v="1"/>
    <n v="0"/>
    <n v="0"/>
    <n v="0"/>
    <n v="0"/>
    <n v="0"/>
    <n v="0"/>
    <n v="0"/>
    <x v="0"/>
    <s v="intermediate"/>
    <s v="Graduates"/>
  </r>
  <r>
    <n v="687"/>
    <s v="Data Scientist"/>
    <n v="2.6"/>
    <s v="West Coast University"/>
    <s v="Irvine | CA"/>
    <s v="Irvine | CA"/>
    <s v="10000+"/>
    <n v="1997"/>
    <x v="0"/>
    <s v="Colleges &amp; Universities"/>
    <s v="Education"/>
    <s v="Unknown / Non-Applicable"/>
    <s v="Unknown"/>
    <n v="0"/>
    <n v="0"/>
    <n v="101000"/>
    <n v="141000"/>
    <n v="121000"/>
    <x v="6"/>
    <n v="26"/>
    <n v="1"/>
    <n v="0"/>
    <n v="0"/>
    <n v="0"/>
    <n v="1"/>
    <n v="1"/>
    <n v="0"/>
    <n v="0"/>
    <n v="0"/>
    <n v="0"/>
    <n v="0"/>
    <n v="1"/>
    <n v="1"/>
    <n v="0"/>
    <n v="0"/>
    <n v="0"/>
    <x v="0"/>
    <s v="intermediate"/>
    <s v="Masters"/>
  </r>
  <r>
    <n v="688"/>
    <s v="Data Engineer - Consultant (Charlotte Based)"/>
    <n v="4.2"/>
    <s v="Clarity Insights"/>
    <s v="Charlotte | NC"/>
    <s v="Chicago | IL"/>
    <s v="201 - 500"/>
    <n v="2008"/>
    <x v="0"/>
    <s v="IT Services"/>
    <s v="Information Technology"/>
    <s v="Unknown / Non-Applicable"/>
    <s v="Unknown"/>
    <n v="0"/>
    <n v="0"/>
    <n v="59000"/>
    <n v="112000"/>
    <n v="85500"/>
    <x v="25"/>
    <n v="15"/>
    <n v="1"/>
    <n v="0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689"/>
    <s v="Data Engineer"/>
    <n v="3.1"/>
    <s v="NCSOFT"/>
    <s v="Aliso | CA"/>
    <s v="Seoul | South Korea"/>
    <s v="1001 - 5000"/>
    <n v="1997"/>
    <x v="3"/>
    <s v="Video Games"/>
    <s v="Media"/>
    <s v="10 billion "/>
    <s v="Blizzard Entertainment, Riot Games, Electronic Arts"/>
    <n v="0"/>
    <n v="0"/>
    <n v="79000"/>
    <n v="147000"/>
    <n v="113000"/>
    <x v="6"/>
    <n v="26"/>
    <n v="1"/>
    <n v="1"/>
    <n v="1"/>
    <n v="1"/>
    <n v="1"/>
    <n v="0"/>
    <n v="0"/>
    <n v="0"/>
    <n v="0"/>
    <n v="0"/>
    <n v="0"/>
    <n v="0"/>
    <n v="0"/>
    <n v="0"/>
    <n v="1"/>
    <n v="0"/>
    <x v="3"/>
    <s v="intermediate"/>
    <s v="Graduates"/>
  </r>
  <r>
    <n v="690"/>
    <s v="Data Scientist (Warehouse Automation)"/>
    <n v="3.8"/>
    <s v="SoftBank Robotics"/>
    <s v="San | CA"/>
    <s v="Paris | France"/>
    <s v="201 - 500"/>
    <n v="2005"/>
    <x v="5"/>
    <s v="Consumer Products Manufacturing"/>
    <s v="Manufacturing"/>
    <s v="50 million "/>
    <s v="Unknown"/>
    <n v="0"/>
    <n v="0"/>
    <n v="79000"/>
    <n v="127000"/>
    <n v="103000"/>
    <x v="6"/>
    <n v="18"/>
    <n v="1"/>
    <n v="0"/>
    <n v="1"/>
    <n v="0"/>
    <n v="1"/>
    <n v="0"/>
    <n v="0"/>
    <n v="0"/>
    <n v="0"/>
    <n v="0"/>
    <n v="0"/>
    <n v="1"/>
    <n v="1"/>
    <n v="0"/>
    <n v="0"/>
    <n v="0"/>
    <x v="0"/>
    <s v="intermediate"/>
    <s v="Masters"/>
  </r>
  <r>
    <n v="691"/>
    <s v="Scientist, Immuno-Oncology"/>
    <n v="3.9"/>
    <s v="GSK"/>
    <s v="Cambridge | MA"/>
    <s v="Brentford | United Kingdom"/>
    <s v="10000+"/>
    <n v="1830"/>
    <x v="3"/>
    <s v="Biotech &amp; Pharmaceuticals"/>
    <s v="Biotech &amp; Pharmaceuticals"/>
    <s v="10 billion "/>
    <s v="Pfizer, AstraZeneca, Merck"/>
    <n v="0"/>
    <n v="0"/>
    <n v="62000"/>
    <n v="119000"/>
    <n v="90500"/>
    <x v="8"/>
    <n v="193"/>
    <n v="0"/>
    <n v="0"/>
    <n v="1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692"/>
    <s v="Senior Data Scientist"/>
    <n v="4.3"/>
    <s v="Factual"/>
    <s v="Los | CA"/>
    <s v="Los Angeles | CA"/>
    <s v="51 - 200"/>
    <n v="2008"/>
    <x v="0"/>
    <s v="Computer Hardware &amp; Software"/>
    <s v="Information Technology"/>
    <s v="Unknown / Non-Applicable"/>
    <s v="Foursquare"/>
    <n v="0"/>
    <n v="0"/>
    <n v="119000"/>
    <n v="187000"/>
    <n v="153000"/>
    <x v="6"/>
    <n v="15"/>
    <n v="1"/>
    <n v="1"/>
    <n v="0"/>
    <n v="1"/>
    <n v="0"/>
    <n v="0"/>
    <n v="0"/>
    <n v="0"/>
    <n v="0"/>
    <n v="0"/>
    <n v="0"/>
    <n v="0"/>
    <n v="0"/>
    <n v="0"/>
    <n v="0"/>
    <n v="0"/>
    <x v="0"/>
    <s v="Senior "/>
    <s v="Graduates"/>
  </r>
  <r>
    <n v="693"/>
    <s v="Jr. Data Scientist"/>
    <n v="3.2"/>
    <s v="MITRE"/>
    <s v="McLean | VA"/>
    <s v="Bedford | MA"/>
    <s v="5001 - 10000"/>
    <n v="1958"/>
    <x v="6"/>
    <s v="Federal Agencies"/>
    <s v="Government"/>
    <s v="2 billion "/>
    <s v="Battelle, General Atomics, SAIC"/>
    <n v="0"/>
    <n v="0"/>
    <n v="81000"/>
    <n v="132000"/>
    <n v="106500"/>
    <x v="7"/>
    <n v="65"/>
    <n v="1"/>
    <n v="1"/>
    <n v="0"/>
    <n v="1"/>
    <n v="1"/>
    <n v="1"/>
    <n v="0"/>
    <n v="0"/>
    <n v="0"/>
    <n v="0"/>
    <n v="1"/>
    <n v="1"/>
    <n v="0"/>
    <n v="0"/>
    <n v="0"/>
    <n v="0"/>
    <x v="0"/>
    <s v="Junior"/>
    <s v="Graduates"/>
  </r>
  <r>
    <n v="694"/>
    <s v="Senior Data Scientist"/>
    <n v="5"/>
    <s v="SkySync"/>
    <s v="Ann | MI"/>
    <s v="Ann Arbor | MI"/>
    <s v="51 - 200"/>
    <n v="2011"/>
    <x v="0"/>
    <s v="Computer Hardware &amp; Software"/>
    <s v="Information Technology"/>
    <s v="Unknown / Non-Applicable"/>
    <s v="Unknown"/>
    <n v="0"/>
    <n v="1"/>
    <n v="120000"/>
    <n v="140000"/>
    <n v="130000"/>
    <x v="15"/>
    <n v="12"/>
    <n v="0"/>
    <n v="0"/>
    <n v="0"/>
    <n v="1"/>
    <n v="0"/>
    <n v="0"/>
    <n v="0"/>
    <n v="0"/>
    <n v="0"/>
    <n v="0"/>
    <n v="0"/>
    <n v="0"/>
    <n v="0"/>
    <n v="0"/>
    <n v="0"/>
    <n v="0"/>
    <x v="0"/>
    <s v="Senior "/>
    <s v="Masters"/>
  </r>
  <r>
    <n v="695"/>
    <s v="Products Data Analyst II"/>
    <n v="3.3"/>
    <s v="TriNet"/>
    <s v="Dublin | CA"/>
    <s v="Dublin | CA"/>
    <s v="1001 - 5000"/>
    <n v="1988"/>
    <x v="3"/>
    <s v="Consulting"/>
    <s v="Business Services"/>
    <s v="5 billion "/>
    <s v="Paychex, Insperity, ADP"/>
    <n v="0"/>
    <n v="0"/>
    <n v="90000"/>
    <n v="157000"/>
    <n v="123500"/>
    <x v="6"/>
    <n v="35"/>
    <n v="0"/>
    <n v="0"/>
    <n v="0"/>
    <n v="1"/>
    <n v="1"/>
    <n v="1"/>
    <n v="0"/>
    <n v="0"/>
    <n v="0"/>
    <n v="0"/>
    <n v="0"/>
    <n v="1"/>
    <n v="0"/>
    <n v="0"/>
    <n v="1"/>
    <n v="0"/>
    <x v="2"/>
    <s v="intermediate"/>
    <s v="Masters"/>
  </r>
  <r>
    <n v="696"/>
    <s v="Data Architect / Data Modeler"/>
    <n v="4.3"/>
    <s v="Medidata Solutions"/>
    <s v="New | NY"/>
    <s v="New York | NY"/>
    <s v="1001 - 5000"/>
    <n v="1999"/>
    <x v="3"/>
    <s v="Enterprise Software &amp; Network Solutions"/>
    <s v="Information Technology"/>
    <s v="750 million"/>
    <s v="Oracle"/>
    <n v="0"/>
    <n v="0"/>
    <n v="63000"/>
    <n v="110000"/>
    <n v="86500"/>
    <x v="4"/>
    <n v="24"/>
    <n v="0"/>
    <n v="0"/>
    <n v="1"/>
    <n v="1"/>
    <n v="1"/>
    <n v="0"/>
    <n v="0"/>
    <n v="0"/>
    <n v="0"/>
    <n v="0"/>
    <n v="0"/>
    <n v="0"/>
    <n v="0"/>
    <n v="0"/>
    <n v="0"/>
    <n v="0"/>
    <x v="5"/>
    <s v="intermediate"/>
    <s v="Masters"/>
  </r>
  <r>
    <n v="697"/>
    <s v="Analytics Manager - Data Mart"/>
    <n v="3.5"/>
    <s v="Central California Alliance for Health"/>
    <s v="Scotts | CA"/>
    <s v="Scotts Valley | CA"/>
    <s v="501 - 1000"/>
    <n v="1996"/>
    <x v="6"/>
    <s v="Health Care Services &amp; Hospitals"/>
    <s v="Health Care"/>
    <s v="750 million"/>
    <s v="Unknown"/>
    <n v="0"/>
    <n v="0"/>
    <n v="42000"/>
    <n v="86000"/>
    <n v="64000"/>
    <x v="6"/>
    <n v="27"/>
    <n v="0"/>
    <n v="0"/>
    <n v="0"/>
    <n v="0"/>
    <n v="1"/>
    <n v="0"/>
    <n v="0"/>
    <n v="0"/>
    <n v="0"/>
    <n v="0"/>
    <n v="0"/>
    <n v="1"/>
    <n v="0"/>
    <n v="0"/>
    <n v="0"/>
    <n v="0"/>
    <x v="6"/>
    <s v="intermediate"/>
    <s v="Graduates"/>
  </r>
  <r>
    <n v="698"/>
    <s v="Lead Data Analyst"/>
    <n v="3.9"/>
    <s v="Signpost"/>
    <s v="New | NY"/>
    <s v="New York | NY"/>
    <s v="201 - 500"/>
    <n v="2010"/>
    <x v="0"/>
    <s v="Internet"/>
    <s v="Information Technology"/>
    <s v="25 million"/>
    <s v="Unknown"/>
    <n v="0"/>
    <n v="0"/>
    <n v="32000"/>
    <n v="62000"/>
    <n v="47000"/>
    <x v="4"/>
    <n v="13"/>
    <n v="0"/>
    <n v="1"/>
    <n v="0"/>
    <n v="0"/>
    <n v="1"/>
    <n v="0"/>
    <n v="0"/>
    <n v="0"/>
    <n v="0"/>
    <n v="0"/>
    <n v="0"/>
    <n v="0"/>
    <n v="0"/>
    <n v="0"/>
    <n v="0"/>
    <n v="0"/>
    <x v="2"/>
    <s v="Senior "/>
    <s v="Graduates"/>
  </r>
  <r>
    <n v="699"/>
    <s v="Data Science Engineer - Mobile"/>
    <n v="4"/>
    <s v="Adobe"/>
    <s v="San | CA"/>
    <s v="San Jose | CA"/>
    <s v="10000+"/>
    <n v="1982"/>
    <x v="3"/>
    <s v="Computer Hardware &amp; Software"/>
    <s v="Information Technology"/>
    <s v="10 billion"/>
    <s v="Apple, Microsoft"/>
    <n v="0"/>
    <n v="0"/>
    <n v="116000"/>
    <n v="208000"/>
    <n v="162000"/>
    <x v="6"/>
    <n v="41"/>
    <n v="1"/>
    <n v="0"/>
    <n v="0"/>
    <n v="1"/>
    <n v="1"/>
    <n v="0"/>
    <n v="0"/>
    <n v="0"/>
    <n v="0"/>
    <n v="0"/>
    <n v="1"/>
    <n v="1"/>
    <n v="1"/>
    <n v="0"/>
    <n v="0"/>
    <n v="0"/>
    <x v="0"/>
    <s v="intermediate"/>
    <s v="Masters"/>
  </r>
  <r>
    <n v="700"/>
    <s v="Senior Data Scientist Oncology"/>
    <n v="3.9"/>
    <s v="AstraZeneca"/>
    <s v="Gaithersburg | MD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07000"/>
    <n v="173000"/>
    <n v="140000"/>
    <x v="1"/>
    <n v="110"/>
    <n v="1"/>
    <n v="0"/>
    <n v="0"/>
    <n v="1"/>
    <n v="0"/>
    <n v="0"/>
    <n v="0"/>
    <n v="0"/>
    <n v="0"/>
    <n v="0"/>
    <n v="0"/>
    <n v="0"/>
    <n v="0"/>
    <n v="0"/>
    <n v="0"/>
    <n v="0"/>
    <x v="0"/>
    <s v="Senior "/>
    <s v="Post Graduates"/>
  </r>
  <r>
    <n v="701"/>
    <s v="Data Scientist"/>
    <n v="3.4"/>
    <s v="DatamanUSA, LLC"/>
    <s v="Olympia | WA"/>
    <s v="Centennial | CO"/>
    <s v="51 - 200"/>
    <s v="Unknown"/>
    <x v="0"/>
    <s v="IT Services"/>
    <s v="Information Technology"/>
    <s v="10 million "/>
    <s v="Unknown"/>
    <n v="0"/>
    <n v="0"/>
    <n v="65000"/>
    <n v="113000"/>
    <n v="89000"/>
    <x v="3"/>
    <s v="Unknown"/>
    <n v="0"/>
    <n v="0"/>
    <n v="0"/>
    <n v="0"/>
    <n v="0"/>
    <n v="0"/>
    <n v="0"/>
    <n v="0"/>
    <n v="0"/>
    <n v="0"/>
    <n v="0"/>
    <n v="0"/>
    <n v="0"/>
    <n v="0"/>
    <n v="0"/>
    <n v="0"/>
    <x v="0"/>
    <s v="intermediate"/>
    <s v="Graduates"/>
  </r>
  <r>
    <n v="702"/>
    <s v="Sr. Data Engineer - Contract-to-Hire (Java)"/>
    <n v="3"/>
    <s v="Pilot Flying J Travel Centers LLC"/>
    <s v="Knoxville | TN"/>
    <s v="Knoxville | TN"/>
    <s v="10000+"/>
    <n v="1958"/>
    <x v="0"/>
    <s v="Gas Stations"/>
    <s v="Retail"/>
    <s v="10 billion "/>
    <s v="TravelCenters of America, Love's Travel Stops &amp; Country Stores, Wawa"/>
    <n v="0"/>
    <n v="0"/>
    <n v="69000"/>
    <n v="127000"/>
    <n v="98000"/>
    <x v="30"/>
    <n v="65"/>
    <n v="1"/>
    <n v="0"/>
    <n v="0"/>
    <n v="0"/>
    <n v="1"/>
    <n v="0"/>
    <n v="0"/>
    <n v="0"/>
    <n v="0"/>
    <n v="0"/>
    <n v="0"/>
    <n v="0"/>
    <n v="0"/>
    <n v="0"/>
    <n v="0"/>
    <n v="0"/>
    <x v="3"/>
    <s v="Senior "/>
    <s v="Masters"/>
  </r>
  <r>
    <n v="703"/>
    <s v="Senior Data Scientist - R&amp;D Oncology"/>
    <n v="3.9"/>
    <s v="AstraZeneca"/>
    <s v="New | NY"/>
    <s v="Cambridge | United Kingdom"/>
    <s v="10000+"/>
    <n v="1913"/>
    <x v="3"/>
    <s v="Biotech &amp; Pharmaceuticals"/>
    <s v="Biotech &amp; Pharmaceuticals"/>
    <s v="10 billion "/>
    <s v="Roche, GlaxoSmithKline, Novartis"/>
    <n v="0"/>
    <n v="0"/>
    <n v="102000"/>
    <n v="172000"/>
    <n v="137000"/>
    <x v="4"/>
    <n v="110"/>
    <n v="1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704"/>
    <s v="Data Engineer"/>
    <n v="4"/>
    <s v="Pinnacol Assurance"/>
    <s v="Denver | CO"/>
    <s v="Denver | CO"/>
    <s v="501 - 1000"/>
    <n v="1915"/>
    <x v="6"/>
    <s v="Insurance Carriers"/>
    <s v="Insurance"/>
    <s v="750 million"/>
    <s v="Unknown"/>
    <n v="0"/>
    <n v="0"/>
    <n v="74000"/>
    <n v="124000"/>
    <n v="99000"/>
    <x v="10"/>
    <n v="108"/>
    <n v="1"/>
    <n v="0"/>
    <n v="1"/>
    <n v="0"/>
    <n v="1"/>
    <n v="0"/>
    <n v="0"/>
    <n v="0"/>
    <n v="0"/>
    <n v="0"/>
    <n v="0"/>
    <n v="0"/>
    <n v="0"/>
    <n v="0"/>
    <n v="0"/>
    <n v="0"/>
    <x v="3"/>
    <s v="intermediate"/>
    <s v="Masters"/>
  </r>
  <r>
    <n v="705"/>
    <s v="Food Scientist - Developer"/>
    <n v="3.3"/>
    <s v="Palermo's Pizza"/>
    <s v="Milwaukee | WI"/>
    <s v="Milwaukee | WI"/>
    <s v="501 - 1000"/>
    <n v="1964"/>
    <x v="0"/>
    <s v="Food &amp; Beverage Manufacturing"/>
    <s v="Manufacturing"/>
    <s v="Unknown / Non-Applicable"/>
    <s v="Unknown"/>
    <n v="0"/>
    <n v="0"/>
    <n v="40000"/>
    <n v="68000"/>
    <n v="54000"/>
    <x v="24"/>
    <n v="59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706"/>
    <s v="Senior Data Engineer"/>
    <n v="3.2"/>
    <s v="Equian LLC"/>
    <s v="Franklin | TN"/>
    <s v="Indianapolis | IN"/>
    <s v="1001 - 5000"/>
    <n v="2004"/>
    <x v="0"/>
    <s v="Health Care Services &amp; Hospitals"/>
    <s v="Health Care"/>
    <s v="Unknown / Non-Applicable"/>
    <s v="Unknown"/>
    <n v="0"/>
    <n v="0"/>
    <n v="76000"/>
    <n v="142000"/>
    <n v="109000"/>
    <x v="30"/>
    <n v="19"/>
    <n v="0"/>
    <n v="0"/>
    <n v="1"/>
    <n v="1"/>
    <n v="0"/>
    <n v="0"/>
    <n v="0"/>
    <n v="0"/>
    <n v="0"/>
    <n v="0"/>
    <n v="1"/>
    <n v="0"/>
    <n v="0"/>
    <n v="0"/>
    <n v="0"/>
    <n v="0"/>
    <x v="3"/>
    <s v="Senior "/>
    <s v="Graduates"/>
  </r>
  <r>
    <n v="707"/>
    <s v="Data Engineer"/>
    <n v="3.4"/>
    <s v="MetroStar Systems"/>
    <s v="Rockville | MD"/>
    <s v="Reston | VA"/>
    <s v="201 - 500"/>
    <n v="1999"/>
    <x v="0"/>
    <s v="IT Services"/>
    <s v="Information Technology"/>
    <s v="50 million "/>
    <s v="Unknown"/>
    <n v="0"/>
    <n v="0"/>
    <n v="76000"/>
    <n v="142000"/>
    <n v="109000"/>
    <x v="1"/>
    <n v="24"/>
    <n v="0"/>
    <n v="0"/>
    <n v="1"/>
    <n v="0"/>
    <n v="0"/>
    <n v="0"/>
    <n v="0"/>
    <n v="0"/>
    <n v="0"/>
    <n v="0"/>
    <n v="0"/>
    <n v="0"/>
    <n v="0"/>
    <n v="0"/>
    <n v="0"/>
    <n v="0"/>
    <x v="3"/>
    <s v="intermediate"/>
    <s v="Masters"/>
  </r>
  <r>
    <n v="708"/>
    <s v="Senior Data Scientist"/>
    <n v="4.4000000000000004"/>
    <s v="MathWorks"/>
    <s v="Natick | MA"/>
    <s v="Natick | MA"/>
    <s v="1001 - 5000"/>
    <n v="1984"/>
    <x v="0"/>
    <s v="Computer Hardware &amp; Software"/>
    <s v="Information Technology"/>
    <s v="2 billion "/>
    <s v="Unknown"/>
    <n v="0"/>
    <n v="0"/>
    <n v="108000"/>
    <n v="171000"/>
    <n v="139500"/>
    <x v="8"/>
    <n v="39"/>
    <n v="1"/>
    <n v="0"/>
    <n v="0"/>
    <n v="0"/>
    <n v="1"/>
    <n v="0"/>
    <n v="0"/>
    <n v="0"/>
    <n v="0"/>
    <n v="0"/>
    <n v="0"/>
    <n v="1"/>
    <n v="1"/>
    <n v="0"/>
    <n v="0"/>
    <n v="0"/>
    <x v="0"/>
    <s v="Senior "/>
    <s v="Masters"/>
  </r>
  <r>
    <n v="709"/>
    <s v="Director II, Data Science - GRM Actuarial"/>
    <n v="3.3"/>
    <s v="Liberty Mutual Insurance"/>
    <s v="Chicago | IL"/>
    <s v="Boston | MA"/>
    <s v="10000+"/>
    <n v="1912"/>
    <x v="0"/>
    <s v="Insurance Carriers"/>
    <s v="Insurance"/>
    <s v="10 billion "/>
    <s v="Travelers, Allstate, State Farm"/>
    <n v="0"/>
    <n v="0"/>
    <n v="202000"/>
    <n v="306000"/>
    <n v="254000"/>
    <x v="11"/>
    <n v="111"/>
    <n v="1"/>
    <n v="0"/>
    <n v="0"/>
    <n v="0"/>
    <n v="0"/>
    <n v="1"/>
    <n v="0"/>
    <n v="0"/>
    <n v="0"/>
    <n v="0"/>
    <n v="0"/>
    <n v="0"/>
    <n v="0"/>
    <n v="0"/>
    <n v="0"/>
    <n v="0"/>
    <x v="0"/>
    <s v="intermediate"/>
    <s v="Masters"/>
  </r>
  <r>
    <n v="710"/>
    <s v="Machine Learning Engineer"/>
    <n v="3.2"/>
    <s v="Information Builders"/>
    <s v="New | NY"/>
    <s v="New York | NY"/>
    <s v="1001 - 5000"/>
    <n v="1975"/>
    <x v="0"/>
    <s v="Computer Hardware &amp; Software"/>
    <s v="Information Technology"/>
    <s v="Unknown / Non-Applicable"/>
    <s v="Qlik, Tableau Software, Informatica"/>
    <n v="0"/>
    <n v="0"/>
    <n v="91000"/>
    <n v="159000"/>
    <n v="125000"/>
    <x v="4"/>
    <n v="48"/>
    <n v="1"/>
    <n v="0"/>
    <n v="1"/>
    <n v="1"/>
    <n v="1"/>
    <n v="0"/>
    <n v="0"/>
    <n v="1"/>
    <n v="0"/>
    <n v="1"/>
    <n v="0"/>
    <n v="0"/>
    <n v="0"/>
    <n v="0"/>
    <n v="0"/>
    <n v="0"/>
    <x v="7"/>
    <s v="intermediate"/>
    <s v="Masters"/>
  </r>
  <r>
    <n v="711"/>
    <s v="Sr Expert Data Science, Advanced Visual Analytics (Associate level)"/>
    <n v="3.8"/>
    <s v="Novartis"/>
    <s v="Cambridge | MA"/>
    <s v="Basel | Switzerland"/>
    <s v="10000+"/>
    <n v="1996"/>
    <x v="3"/>
    <s v="Biotech &amp; Pharmaceuticals"/>
    <s v="Biotech &amp; Pharmaceuticals"/>
    <s v="10 billion "/>
    <s v="Unknown"/>
    <n v="0"/>
    <n v="0"/>
    <n v="80000"/>
    <n v="133000"/>
    <n v="106500"/>
    <x v="8"/>
    <n v="27"/>
    <n v="1"/>
    <n v="0"/>
    <n v="0"/>
    <n v="0"/>
    <n v="1"/>
    <n v="1"/>
    <n v="0"/>
    <n v="0"/>
    <n v="0"/>
    <n v="0"/>
    <n v="0"/>
    <n v="1"/>
    <n v="1"/>
    <n v="0"/>
    <n v="0"/>
    <n v="0"/>
    <x v="0"/>
    <s v="Senior "/>
    <s v="Masters"/>
  </r>
  <r>
    <n v="712"/>
    <s v="MED TECH/LAB SCIENTIST- SOUTH COASTAL LAB"/>
    <n v="3.6"/>
    <s v="Beebe Healthcare"/>
    <s v="Millville | DE"/>
    <s v="Lewes | DE"/>
    <s v="1001 - 5000"/>
    <n v="1935"/>
    <x v="6"/>
    <s v="Health Care Services &amp; Hospitals"/>
    <s v="Health Care"/>
    <s v="500 million"/>
    <s v="Unknown"/>
    <n v="1"/>
    <n v="0"/>
    <n v="43000"/>
    <n v="70000"/>
    <n v="56500"/>
    <x v="31"/>
    <n v="88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Graduates"/>
  </r>
  <r>
    <n v="713"/>
    <s v="Scientist, Molecular/Cellular Biologist"/>
    <n v="2.9"/>
    <s v="Audentes Therapeutics"/>
    <s v="South | CA"/>
    <s v="San Francisco | CA"/>
    <s v="201 - 500"/>
    <n v="2012"/>
    <x v="5"/>
    <s v="Biotech &amp; Pharmaceuticals"/>
    <s v="Biotech &amp; Pharmaceuticals"/>
    <s v="Unknown / Non-Applicable"/>
    <s v="BioMarin Pharmaceutical, Sangamo Therapeutics, bluebird bio"/>
    <n v="0"/>
    <n v="0"/>
    <n v="49000"/>
    <n v="97000"/>
    <n v="73000"/>
    <x v="6"/>
    <n v="11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Post Graduates"/>
  </r>
  <r>
    <n v="714"/>
    <s v="Staff Scientist-Downstream Process Development"/>
    <n v="2.7"/>
    <s v="Advanced BioScience Laboratories"/>
    <s v="Rockville | MD"/>
    <s v="Rockville | MD"/>
    <s v="201 - 500"/>
    <n v="1961"/>
    <x v="0"/>
    <s v="Biotech &amp; Pharmaceuticals"/>
    <s v="Biotech &amp; Pharmaceuticals"/>
    <s v="50 million "/>
    <s v="Unknown"/>
    <n v="0"/>
    <n v="0"/>
    <n v="49000"/>
    <n v="113000"/>
    <n v="81000"/>
    <x v="1"/>
    <n v="62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715"/>
    <s v="Data Scientist"/>
    <n v="3.2"/>
    <s v="Numeric, LLC"/>
    <s v="Philadelphia | PA"/>
    <s v="Chadds Ford | PA"/>
    <n v="500"/>
    <s v="Unknown"/>
    <x v="0"/>
    <s v="Staffing &amp; Outsourcing"/>
    <s v="Business Services"/>
    <s v="10 million "/>
    <s v="Unknown"/>
    <n v="0"/>
    <n v="0"/>
    <n v="96000"/>
    <n v="161000"/>
    <n v="128500"/>
    <x v="20"/>
    <s v="Unknown"/>
    <n v="1"/>
    <n v="1"/>
    <n v="1"/>
    <n v="0"/>
    <n v="1"/>
    <n v="0"/>
    <n v="0"/>
    <n v="0"/>
    <n v="0"/>
    <n v="0"/>
    <n v="1"/>
    <n v="0"/>
    <n v="0"/>
    <n v="0"/>
    <n v="0"/>
    <n v="0"/>
    <x v="0"/>
    <s v="intermediate"/>
    <s v="Graduates"/>
  </r>
  <r>
    <n v="716"/>
    <s v="Scientist - Analytical Service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65000"/>
    <n v="134000"/>
    <n v="99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717"/>
    <s v="Associate Scientist / Sr. Associate Scientist, Antibody Discovery"/>
    <n v="4"/>
    <s v="23andMe"/>
    <s v="South | CA"/>
    <s v="Sunnyvale | CA"/>
    <s v="501 - 1000"/>
    <n v="2006"/>
    <x v="0"/>
    <s v="Biotech &amp; Pharmaceuticals"/>
    <s v="Biotech &amp; Pharmaceuticals"/>
    <s v="Unknown / Non-Applicable"/>
    <s v="Ancestry, Verily Life Sciences, Abbott Laboratories"/>
    <n v="0"/>
    <n v="0"/>
    <n v="59000"/>
    <n v="125000"/>
    <n v="92000"/>
    <x v="6"/>
    <n v="17"/>
    <n v="0"/>
    <n v="0"/>
    <n v="1"/>
    <n v="1"/>
    <n v="0"/>
    <n v="0"/>
    <n v="0"/>
    <n v="0"/>
    <n v="0"/>
    <n v="0"/>
    <n v="0"/>
    <n v="0"/>
    <n v="0"/>
    <n v="0"/>
    <n v="0"/>
    <n v="0"/>
    <x v="1"/>
    <s v="Senior "/>
    <s v="Masters"/>
  </r>
  <r>
    <n v="718"/>
    <s v="Associate Data Analyst- Graduate Development Program"/>
    <n v="3.3"/>
    <s v="National Interstate"/>
    <s v="Richfield | OH"/>
    <s v="Richfield | OH"/>
    <s v="501 - 1000"/>
    <n v="1989"/>
    <x v="0"/>
    <s v="Insurance Carriers"/>
    <s v="Insurance"/>
    <s v="750 million"/>
    <s v="Unknown"/>
    <n v="0"/>
    <n v="0"/>
    <n v="32000"/>
    <n v="59000"/>
    <n v="45500"/>
    <x v="17"/>
    <n v="34"/>
    <n v="0"/>
    <n v="0"/>
    <n v="0"/>
    <n v="0"/>
    <n v="0"/>
    <n v="0"/>
    <n v="0"/>
    <n v="0"/>
    <n v="0"/>
    <n v="0"/>
    <n v="0"/>
    <n v="0"/>
    <n v="0"/>
    <n v="0"/>
    <n v="0"/>
    <n v="0"/>
    <x v="2"/>
    <s v="intermediate"/>
    <s v="Graduates"/>
  </r>
  <r>
    <n v="719"/>
    <s v="Sr. Data Engineer"/>
    <n v="4.5"/>
    <s v="Moser Consulting"/>
    <s v="Indianapolis | IN"/>
    <s v="Indianapolis | IN"/>
    <s v="51 - 200"/>
    <n v="1996"/>
    <x v="0"/>
    <s v="Consulting"/>
    <s v="Business Services"/>
    <s v="50 million "/>
    <s v="Unknown"/>
    <n v="0"/>
    <n v="0"/>
    <n v="87000"/>
    <n v="158000"/>
    <n v="122500"/>
    <x v="22"/>
    <n v="27"/>
    <n v="1"/>
    <n v="1"/>
    <n v="1"/>
    <n v="0"/>
    <n v="1"/>
    <n v="0"/>
    <n v="0"/>
    <n v="0"/>
    <n v="0"/>
    <n v="0"/>
    <n v="1"/>
    <n v="0"/>
    <n v="0"/>
    <n v="0"/>
    <n v="1"/>
    <n v="0"/>
    <x v="3"/>
    <s v="Senior "/>
    <s v="Graduates"/>
  </r>
  <r>
    <n v="720"/>
    <s v="Clinical Data Analyst"/>
    <n v="3"/>
    <s v="Greenway Health"/>
    <s v="Tampa | FL"/>
    <s v="Tampa | FL"/>
    <s v="1001 - 5000"/>
    <n v="1977"/>
    <x v="5"/>
    <s v="Enterprise Software &amp; Network Solutions"/>
    <s v="Information Technology"/>
    <s v="500 million"/>
    <s v="eClinicalWorks, NextGen Healthcare, athenahealth"/>
    <n v="0"/>
    <n v="0"/>
    <n v="27000"/>
    <n v="48000"/>
    <n v="37500"/>
    <x v="2"/>
    <n v="46"/>
    <n v="0"/>
    <n v="0"/>
    <n v="0"/>
    <n v="1"/>
    <n v="1"/>
    <n v="0"/>
    <n v="0"/>
    <n v="0"/>
    <n v="0"/>
    <n v="0"/>
    <n v="0"/>
    <n v="0"/>
    <n v="0"/>
    <n v="0"/>
    <n v="0"/>
    <n v="0"/>
    <x v="2"/>
    <s v="intermediate"/>
    <s v="Masters"/>
  </r>
  <r>
    <n v="721"/>
    <s v="IT Associate Data Analyst"/>
    <n v="3.7"/>
    <s v="The Hanover Insurance Group"/>
    <s v="Worcester | MA"/>
    <s v="Worcester | MA"/>
    <s v="5001 - 10000"/>
    <n v="1852"/>
    <x v="3"/>
    <s v="Insurance Carriers"/>
    <s v="Insurance"/>
    <s v="10 billion"/>
    <s v="Unknown"/>
    <n v="0"/>
    <n v="0"/>
    <n v="39000"/>
    <n v="69000"/>
    <n v="54000"/>
    <x v="8"/>
    <n v="171"/>
    <n v="0"/>
    <n v="0"/>
    <n v="0"/>
    <n v="0"/>
    <n v="1"/>
    <n v="0"/>
    <n v="0"/>
    <n v="0"/>
    <n v="0"/>
    <n v="0"/>
    <n v="0"/>
    <n v="0"/>
    <n v="0"/>
    <n v="0"/>
    <n v="0"/>
    <n v="0"/>
    <x v="2"/>
    <s v="intermediate"/>
    <s v="Graduates"/>
  </r>
  <r>
    <n v="722"/>
    <s v="Business Data Analyst"/>
    <n v="3.8"/>
    <s v="Fareportal"/>
    <s v="New | NY"/>
    <s v="New York | NY"/>
    <s v="1001 - 5000"/>
    <n v="2002"/>
    <x v="0"/>
    <s v="Travel Agencies"/>
    <s v="Travel &amp; Tourism"/>
    <s v="5 billion "/>
    <s v="Expedia Group, Orbitz Worldwide, Priceline.com"/>
    <n v="0"/>
    <n v="0"/>
    <n v="36000"/>
    <n v="71000"/>
    <n v="53500"/>
    <x v="4"/>
    <n v="21"/>
    <n v="1"/>
    <n v="0"/>
    <n v="0"/>
    <n v="1"/>
    <n v="1"/>
    <n v="0"/>
    <n v="0"/>
    <n v="0"/>
    <n v="0"/>
    <n v="0"/>
    <n v="0"/>
    <n v="0"/>
    <n v="1"/>
    <n v="0"/>
    <n v="0"/>
    <n v="1"/>
    <x v="2"/>
    <s v="intermediate"/>
    <s v="Masters"/>
  </r>
  <r>
    <n v="723"/>
    <s v="Senior Insurance Data Scientist"/>
    <n v="3.9"/>
    <s v="TransUnion"/>
    <s v="Chicago | IL"/>
    <s v="Chicago | IL"/>
    <s v="5001 - 10000"/>
    <n v="1968"/>
    <x v="3"/>
    <s v="Financial Analytics &amp; Research"/>
    <s v="Finance"/>
    <s v="2 billion "/>
    <s v="Unknown"/>
    <n v="0"/>
    <n v="0"/>
    <n v="107000"/>
    <n v="173000"/>
    <n v="140000"/>
    <x v="11"/>
    <n v="55"/>
    <n v="1"/>
    <n v="0"/>
    <n v="0"/>
    <n v="1"/>
    <n v="1"/>
    <n v="1"/>
    <n v="0"/>
    <n v="0"/>
    <n v="0"/>
    <n v="0"/>
    <n v="0"/>
    <n v="0"/>
    <n v="0"/>
    <n v="0"/>
    <n v="0"/>
    <n v="0"/>
    <x v="0"/>
    <s v="Senior "/>
    <s v="Graduates"/>
  </r>
  <r>
    <n v="724"/>
    <s v="Senior Data Science Systems Engineer"/>
    <n v="3.2"/>
    <s v="MITRE"/>
    <s v="Hampton | VA"/>
    <s v="Bedford | MA"/>
    <s v="5001 - 10000"/>
    <n v="1958"/>
    <x v="6"/>
    <s v="Federal Agencies"/>
    <s v="Government"/>
    <s v="2 billion "/>
    <s v="Battelle, General Atomics, SAIC"/>
    <n v="0"/>
    <n v="0"/>
    <n v="56000"/>
    <n v="99000"/>
    <n v="77500"/>
    <x v="7"/>
    <n v="65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Post Graduates"/>
  </r>
  <r>
    <n v="725"/>
    <s v="ENVIRONMENTAL ENGINEER/SCIENTIST"/>
    <n v="3.3"/>
    <s v="Mcphail Associates"/>
    <s v="Cambridge | MA"/>
    <s v="Cambridge | MA"/>
    <n v="500"/>
    <n v="1976"/>
    <x v="0"/>
    <s v="Construction"/>
    <s v="Construction, Repair &amp; Maintenance"/>
    <s v="Unknown / Non-Applicable"/>
    <s v="Unknown"/>
    <n v="1"/>
    <n v="1"/>
    <n v="52000"/>
    <n v="58000"/>
    <n v="55000"/>
    <x v="8"/>
    <n v="47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726"/>
    <s v="Senior Scientist - Regulatory Submissions"/>
    <n v="3.1"/>
    <s v="Reynolds American"/>
    <s v="Winston | NC"/>
    <s v="Winston-Salem | NC"/>
    <s v="5001 - 10000"/>
    <n v="1875"/>
    <x v="0"/>
    <s v="Consumer Products Manufacturing"/>
    <s v="Manufacturing"/>
    <s v="10 billion "/>
    <s v="Unknown"/>
    <n v="0"/>
    <n v="0"/>
    <n v="80000"/>
    <n v="155000"/>
    <n v="117500"/>
    <x v="25"/>
    <n v="14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Masters"/>
  </r>
  <r>
    <n v="727"/>
    <s v="Scientist - Biomarker and Flow Cytometry"/>
    <n v="2.4"/>
    <s v="Crown Bioscience"/>
    <s v="San | CA"/>
    <s v="San Diego | CA"/>
    <s v="501 - 1000"/>
    <n v="2006"/>
    <x v="0"/>
    <s v="Biotech &amp; Pharmaceuticals"/>
    <s v="Biotech &amp; Pharmaceuticals"/>
    <s v="100 million "/>
    <s v="Unknown"/>
    <n v="0"/>
    <n v="0"/>
    <n v="43000"/>
    <n v="98000"/>
    <n v="70500"/>
    <x v="6"/>
    <n v="17"/>
    <n v="0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  <r>
    <n v="728"/>
    <s v="Revenue Analytics Manager"/>
    <n v="4.8"/>
    <s v="HOVER"/>
    <s v="San | CA"/>
    <s v="San Francisco | CA"/>
    <s v="51 - 200"/>
    <n v="2011"/>
    <x v="0"/>
    <s v="Computer Hardware &amp; Software"/>
    <s v="Information Technology"/>
    <s v="50 million "/>
    <s v="Unknown"/>
    <n v="0"/>
    <n v="0"/>
    <n v="45000"/>
    <n v="78000"/>
    <n v="61500"/>
    <x v="6"/>
    <n v="12"/>
    <n v="0"/>
    <n v="0"/>
    <n v="0"/>
    <n v="1"/>
    <n v="1"/>
    <n v="0"/>
    <n v="0"/>
    <n v="0"/>
    <n v="0"/>
    <n v="0"/>
    <n v="0"/>
    <n v="1"/>
    <n v="0"/>
    <n v="0"/>
    <n v="0"/>
    <n v="0"/>
    <x v="6"/>
    <s v="intermediate"/>
    <s v="Graduates"/>
  </r>
  <r>
    <n v="729"/>
    <s v="Sr. Scientist Method Development"/>
    <n v="2.9"/>
    <s v="Q2 Solutions"/>
    <s v="Marietta | GA"/>
    <s v="Morrisville | NC"/>
    <s v="1001 - 5000"/>
    <n v="2015"/>
    <x v="0"/>
    <s v="Biotech &amp; Pharmaceuticals"/>
    <s v="Biotech &amp; Pharmaceuticals"/>
    <s v="Unknown / Non-Applicable"/>
    <s v="Unknown"/>
    <n v="0"/>
    <n v="0"/>
    <n v="50000"/>
    <n v="110000"/>
    <n v="80000"/>
    <x v="21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Senior "/>
    <s v="Graduates"/>
  </r>
  <r>
    <n v="730"/>
    <s v="Associate Scientist, LC/MS Biologics"/>
    <n v="2.9"/>
    <s v="Q2 Solutions"/>
    <s v="Ithaca | NY"/>
    <s v="Morrisville | NC"/>
    <s v="1001 - 5000"/>
    <n v="2015"/>
    <x v="0"/>
    <s v="Biotech &amp; Pharmaceuticals"/>
    <s v="Biotech &amp; Pharmaceuticals"/>
    <s v="Unknown / Non-Applicable"/>
    <s v="Unknown"/>
    <n v="0"/>
    <n v="0"/>
    <n v="44000"/>
    <n v="96000"/>
    <n v="70000"/>
    <x v="4"/>
    <n v="8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Graduates"/>
  </r>
  <r>
    <n v="731"/>
    <s v="Research Scientist, Immunology - Cancer Biology"/>
    <n v="0"/>
    <s v="Kronos Bi"/>
    <s v="Cambridge | MA"/>
    <s v="San Mateo | CA"/>
    <n v="500"/>
    <s v="Unknown"/>
    <x v="0"/>
    <s v="Unknown"/>
    <s v="Unknown"/>
    <s v="Unknown / Non-Applicable"/>
    <s v="Unknown"/>
    <n v="0"/>
    <n v="1"/>
    <n v="100000"/>
    <n v="140000"/>
    <n v="120000"/>
    <x v="8"/>
    <s v="Unknown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732"/>
    <s v="IT - Data Engineer II"/>
    <n v="3.4"/>
    <s v="Arbella Insurance"/>
    <s v="Quincy | MA"/>
    <s v="Quincy | MA"/>
    <s v="1001 - 5000"/>
    <n v="1988"/>
    <x v="0"/>
    <s v="Insurance Carriers"/>
    <s v="Insurance"/>
    <s v="500 million"/>
    <s v="Unknown"/>
    <n v="0"/>
    <n v="0"/>
    <n v="61000"/>
    <n v="119000"/>
    <n v="90000"/>
    <x v="8"/>
    <n v="35"/>
    <n v="0"/>
    <n v="1"/>
    <n v="0"/>
    <n v="1"/>
    <n v="1"/>
    <n v="0"/>
    <n v="0"/>
    <n v="0"/>
    <n v="0"/>
    <n v="0"/>
    <n v="1"/>
    <n v="0"/>
    <n v="0"/>
    <n v="0"/>
    <n v="0"/>
    <n v="0"/>
    <x v="3"/>
    <s v="intermediate"/>
    <s v="Graduates"/>
  </r>
  <r>
    <n v="733"/>
    <s v="Machine Learning Engineer (NLP)"/>
    <n v="4.0999999999999996"/>
    <s v="CK-12 Foundation"/>
    <s v="Palo | CA"/>
    <s v="Palo Alto | CA"/>
    <n v="500"/>
    <n v="2007"/>
    <x v="0"/>
    <s v="K-12 Education"/>
    <s v="Education"/>
    <s v="Unknown / Non-Applicable"/>
    <s v="Unknown"/>
    <n v="0"/>
    <n v="0"/>
    <n v="80000"/>
    <n v="142000"/>
    <n v="111000"/>
    <x v="6"/>
    <n v="16"/>
    <n v="1"/>
    <n v="0"/>
    <n v="1"/>
    <n v="1"/>
    <n v="0"/>
    <n v="0"/>
    <n v="0"/>
    <n v="1"/>
    <n v="0"/>
    <n v="1"/>
    <n v="0"/>
    <n v="0"/>
    <n v="0"/>
    <n v="0"/>
    <n v="0"/>
    <n v="0"/>
    <x v="7"/>
    <s v="intermediate"/>
    <s v="Graduates"/>
  </r>
  <r>
    <n v="734"/>
    <s v="Senior Data Analyst"/>
    <n v="3.9"/>
    <s v="Life360"/>
    <s v="San | CA"/>
    <s v="San Francisco | CA"/>
    <s v="51 - 200"/>
    <n v="2008"/>
    <x v="3"/>
    <s v="Computer Hardware &amp; Software"/>
    <s v="Information Technology"/>
    <s v="Unknown / Non-Applicable"/>
    <s v="Unknown"/>
    <n v="0"/>
    <n v="0"/>
    <n v="99000"/>
    <n v="178000"/>
    <n v="138500"/>
    <x v="6"/>
    <n v="15"/>
    <n v="1"/>
    <n v="0"/>
    <n v="0"/>
    <n v="0"/>
    <n v="1"/>
    <n v="0"/>
    <n v="0"/>
    <n v="0"/>
    <n v="0"/>
    <n v="0"/>
    <n v="0"/>
    <n v="1"/>
    <n v="0"/>
    <n v="0"/>
    <n v="0"/>
    <n v="0"/>
    <x v="2"/>
    <s v="Senior "/>
    <s v="Graduates"/>
  </r>
  <r>
    <n v="735"/>
    <s v="Data Science Project Manager"/>
    <n v="3.6"/>
    <s v="MassMutual"/>
    <s v="Boston | MA"/>
    <s v="Springfield | MA"/>
    <s v="5001 - 10000"/>
    <n v="1851"/>
    <x v="0"/>
    <s v="Insurance Carriers"/>
    <s v="Insurance"/>
    <s v="10 billion "/>
    <s v="Unknown"/>
    <n v="0"/>
    <n v="0"/>
    <n v="37000"/>
    <n v="100000"/>
    <n v="68500"/>
    <x v="8"/>
    <n v="172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Masters"/>
  </r>
  <r>
    <n v="736"/>
    <s v="Data Engineer"/>
    <n v="3.9"/>
    <s v="Fivestars"/>
    <s v="San | CA"/>
    <s v="San Francisco | CA"/>
    <s v="201 - 500"/>
    <n v="2011"/>
    <x v="0"/>
    <s v="Internet"/>
    <s v="Information Technology"/>
    <s v="500 million"/>
    <s v="Belly, SpotOn"/>
    <n v="0"/>
    <n v="0"/>
    <n v="62000"/>
    <n v="113000"/>
    <n v="87500"/>
    <x v="6"/>
    <n v="12"/>
    <n v="1"/>
    <n v="0"/>
    <n v="1"/>
    <n v="1"/>
    <n v="1"/>
    <n v="0"/>
    <n v="0"/>
    <n v="0"/>
    <n v="0"/>
    <n v="0"/>
    <n v="0"/>
    <n v="0"/>
    <n v="0"/>
    <n v="0"/>
    <n v="0"/>
    <n v="0"/>
    <x v="3"/>
    <s v="intermediate"/>
    <s v="Post Graduates"/>
  </r>
  <r>
    <n v="737"/>
    <s v="Principal, Data Science - Advanced Analytics"/>
    <n v="3.6"/>
    <s v="IQVIA"/>
    <s v="Plymouth | PA"/>
    <s v="Durham | NC"/>
    <s v="10000+"/>
    <n v="2017"/>
    <x v="3"/>
    <s v="Biotech &amp; Pharmaceuticals"/>
    <s v="Biotech &amp; Pharmaceuticals"/>
    <s v="5 billion "/>
    <s v="PPD, INC Research, PRA Health Sciences"/>
    <n v="0"/>
    <n v="0"/>
    <n v="86000"/>
    <n v="137000"/>
    <n v="111500"/>
    <x v="20"/>
    <n v="6"/>
    <n v="0"/>
    <n v="0"/>
    <n v="0"/>
    <n v="0"/>
    <n v="0"/>
    <n v="0"/>
    <n v="0"/>
    <n v="0"/>
    <n v="0"/>
    <n v="0"/>
    <n v="0"/>
    <n v="0"/>
    <n v="0"/>
    <n v="0"/>
    <n v="0"/>
    <n v="0"/>
    <x v="0"/>
    <s v="Senior "/>
    <s v="Masters"/>
  </r>
  <r>
    <n v="738"/>
    <s v="Sr Scientist, Immuno-Oncology - Oncology"/>
    <n v="3.9"/>
    <s v="GSK"/>
    <s v="Cambridge | MA"/>
    <s v="Brentford | United Kingdom"/>
    <s v="10000+"/>
    <n v="1830"/>
    <x v="3"/>
    <s v="Biotech &amp; Pharmaceuticals"/>
    <s v="Biotech &amp; Pharmaceuticals"/>
    <s v="10 billion "/>
    <s v="Pfizer, AstraZeneca, Merck"/>
    <n v="0"/>
    <n v="0"/>
    <n v="58000"/>
    <n v="111000"/>
    <n v="84500"/>
    <x v="8"/>
    <n v="193"/>
    <n v="0"/>
    <n v="0"/>
    <n v="1"/>
    <n v="0"/>
    <n v="0"/>
    <n v="0"/>
    <n v="0"/>
    <n v="0"/>
    <n v="0"/>
    <n v="0"/>
    <n v="0"/>
    <n v="0"/>
    <n v="0"/>
    <n v="0"/>
    <n v="0"/>
    <n v="0"/>
    <x v="1"/>
    <s v="Senior "/>
    <s v="Masters"/>
  </r>
  <r>
    <n v="739"/>
    <s v="Senior Data Engineer"/>
    <n v="4.4000000000000004"/>
    <s v="Eventbrite"/>
    <s v="Nashville | TN"/>
    <s v="San Francisco | CA"/>
    <s v="1001 - 5000"/>
    <n v="2006"/>
    <x v="3"/>
    <s v="Internet"/>
    <s v="Information Technology"/>
    <s v="500 million"/>
    <s v="See Tickets, TicketWeb, Vendini"/>
    <n v="0"/>
    <n v="0"/>
    <n v="72000"/>
    <n v="133000"/>
    <n v="102500"/>
    <x v="30"/>
    <n v="17"/>
    <n v="1"/>
    <n v="1"/>
    <n v="1"/>
    <n v="0"/>
    <n v="1"/>
    <n v="0"/>
    <n v="0"/>
    <n v="0"/>
    <n v="0"/>
    <n v="0"/>
    <n v="1"/>
    <n v="0"/>
    <n v="0"/>
    <n v="0"/>
    <n v="0"/>
    <n v="0"/>
    <x v="3"/>
    <s v="Senior "/>
    <s v="Graduates"/>
  </r>
  <r>
    <n v="740"/>
    <s v="Project Scientist - Auton Lab, Robotics Institute"/>
    <n v="2.6"/>
    <s v="Software Engineering Institute"/>
    <s v="Pittsburgh | PA"/>
    <s v="Pittsburgh | PA"/>
    <s v="501 - 1000"/>
    <n v="1984"/>
    <x v="7"/>
    <s v="Colleges &amp; Universities"/>
    <s v="Education"/>
    <s v="Unknown / Non-Applicable"/>
    <s v="Unknown"/>
    <n v="0"/>
    <n v="0"/>
    <n v="56000"/>
    <n v="91000"/>
    <n v="73500"/>
    <x v="20"/>
    <n v="39"/>
    <n v="0"/>
    <n v="0"/>
    <n v="0"/>
    <n v="1"/>
    <n v="0"/>
    <n v="0"/>
    <n v="0"/>
    <n v="0"/>
    <n v="0"/>
    <n v="0"/>
    <n v="0"/>
    <n v="0"/>
    <n v="0"/>
    <n v="0"/>
    <n v="0"/>
    <n v="0"/>
    <x v="1"/>
    <s v="intermediate"/>
    <s v="Post Graduates"/>
  </r>
  <r>
    <n v="741"/>
    <s v="Data Science Manager"/>
    <n v="3.2"/>
    <s v="Numeric, LLC"/>
    <s v="Allentown | PA"/>
    <s v="Chadds Ford | PA"/>
    <n v="500"/>
    <s v="Unknown"/>
    <x v="0"/>
    <s v="Staffing &amp; Outsourcing"/>
    <s v="Business Services"/>
    <s v="10 million "/>
    <s v="Unknown"/>
    <n v="0"/>
    <n v="0"/>
    <n v="95000"/>
    <n v="160000"/>
    <n v="127500"/>
    <x v="20"/>
    <s v="Unknown"/>
    <n v="0"/>
    <n v="0"/>
    <n v="0"/>
    <n v="1"/>
    <n v="0"/>
    <n v="0"/>
    <n v="0"/>
    <n v="0"/>
    <n v="0"/>
    <n v="0"/>
    <n v="0"/>
    <n v="0"/>
    <n v="0"/>
    <n v="0"/>
    <n v="0"/>
    <n v="0"/>
    <x v="0"/>
    <s v="intermediate"/>
    <s v="Graduates"/>
  </r>
  <r>
    <n v="742"/>
    <s v="Research Scientist – Security and Privacy"/>
    <n v="3.6"/>
    <s v="Riverside Research Institute"/>
    <s v="Beavercreek | OH"/>
    <s v="Arlington | VA"/>
    <s v="501 - 1000"/>
    <n v="1967"/>
    <x v="6"/>
    <s v="Federal Agencies"/>
    <s v="Government"/>
    <s v="100 million "/>
    <s v="Unknown"/>
    <n v="0"/>
    <n v="0"/>
    <n v="61000"/>
    <n v="126000"/>
    <n v="93500"/>
    <x v="17"/>
    <n v="56"/>
    <n v="1"/>
    <n v="0"/>
    <n v="0"/>
    <n v="0"/>
    <n v="0"/>
    <n v="0"/>
    <n v="0"/>
    <n v="0"/>
    <n v="0"/>
    <n v="0"/>
    <n v="0"/>
    <n v="0"/>
    <n v="0"/>
    <n v="0"/>
    <n v="0"/>
    <n v="0"/>
    <x v="1"/>
    <s v="intermediate"/>
    <s v="Maste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s " cacheId="6" applyNumberFormats="0" applyBorderFormats="0" applyFontFormats="0" applyPatternFormats="0" applyAlignmentFormats="0" applyWidthHeightFormats="0" dataCaption="" updatedVersion="8" compact="0" compactData="0">
  <location ref="A2:B40" firstHeaderRow="1" firstDataRow="1" firstDataCol="1"/>
  <pivotFields count="39">
    <pivotField name="ID" compact="0" outline="0" multipleItemSelectionAllowed="1" showAll="0"/>
    <pivotField name="Job_Title" compact="0" outline="0" multipleItemSelectionAllowed="1" showAll="0"/>
    <pivotField name="Rating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compact="0" outline="0" multipleItemSelectionAllowed="1" showAll="0"/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compact="0" numFmtId="164" outline="0" multipleItemSelectionAllowed="1" showAll="0"/>
    <pivotField name="Upper_Salary" compact="0" numFmtId="164" outline="0" multipleItemSelectionAllowed="1" showAll="0"/>
    <pivotField name="Avg_SalaryK" compact="0" numFmtId="164" outline="0" multipleItemSelectionAllowed="1" showAll="0"/>
    <pivotField name="Job_Location" axis="axisRow" compact="0" outline="0" multipleItemSelectionAllowed="1" showAll="0" sortType="descending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dataField="1" compact="0" outline="0" multipleItemSelectionAllowed="1" showAll="0"/>
    <pivotField name="seniority_by_title" compact="0" outline="0" multipleItemSelectionAllowed="1" showAll="0"/>
    <pivotField name="Degree" compact="0" outline="0" multipleItemSelectionAllowed="1" showAll="0"/>
  </pivotFields>
  <rowFields count="1">
    <field x="18"/>
  </rowFields>
  <rowItems count="38">
    <i>
      <x v="6"/>
    </i>
    <i>
      <x v="8"/>
    </i>
    <i>
      <x v="4"/>
    </i>
    <i>
      <x v="7"/>
    </i>
    <i>
      <x v="11"/>
    </i>
    <i>
      <x v="1"/>
    </i>
    <i>
      <x v="20"/>
    </i>
    <i>
      <x v="5"/>
    </i>
    <i>
      <x v="3"/>
    </i>
    <i>
      <x v="25"/>
    </i>
    <i>
      <x v="9"/>
    </i>
    <i>
      <x v="2"/>
    </i>
    <i>
      <x v="17"/>
    </i>
    <i>
      <x v="30"/>
    </i>
    <i>
      <x v="16"/>
    </i>
    <i>
      <x v="10"/>
    </i>
    <i>
      <x v="29"/>
    </i>
    <i>
      <x v="22"/>
    </i>
    <i>
      <x v="24"/>
    </i>
    <i>
      <x v="26"/>
    </i>
    <i>
      <x v="19"/>
    </i>
    <i>
      <x v="18"/>
    </i>
    <i>
      <x v="31"/>
    </i>
    <i>
      <x v="21"/>
    </i>
    <i>
      <x v="12"/>
    </i>
    <i>
      <x v="15"/>
    </i>
    <i>
      <x v="14"/>
    </i>
    <i>
      <x v="34"/>
    </i>
    <i>
      <x v="13"/>
    </i>
    <i>
      <x v="27"/>
    </i>
    <i>
      <x v="23"/>
    </i>
    <i>
      <x v="36"/>
    </i>
    <i>
      <x/>
    </i>
    <i>
      <x v="32"/>
    </i>
    <i>
      <x v="28"/>
    </i>
    <i>
      <x v="33"/>
    </i>
    <i>
      <x v="35"/>
    </i>
    <i t="grand">
      <x/>
    </i>
  </rowItems>
  <colItems count="1">
    <i/>
  </colItems>
  <dataFields count="1">
    <dataField name="Job count" fld="3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s  2" cacheId="6" applyNumberFormats="0" applyBorderFormats="0" applyFontFormats="0" applyPatternFormats="0" applyAlignmentFormats="0" applyWidthHeightFormats="0" dataCaption="" updatedVersion="8" compact="0" compactData="0">
  <location ref="D2:E40" firstHeaderRow="1" firstDataRow="1" firstDataCol="1"/>
  <pivotFields count="39">
    <pivotField name="ID" compact="0" outline="0" multipleItemSelectionAllowed="1" showAll="0"/>
    <pivotField name="Job_Title" compact="0" outline="0" multipleItemSelectionAllowed="1" showAll="0"/>
    <pivotField name="Rating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compact="0" outline="0" multipleItemSelectionAllowed="1" showAll="0"/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compact="0" numFmtId="164" outline="0" multipleItemSelectionAllowed="1" showAll="0"/>
    <pivotField name="Upper_Salary" compact="0" numFmtId="164" outline="0" multipleItemSelectionAllowed="1" showAll="0"/>
    <pivotField name="Avg_SalaryK" dataField="1" compact="0" numFmtId="164" outline="0" multipleItemSelectionAllowed="1" showAll="0"/>
    <pivotField name="Job_Location" axis="axisRow" compact="0" outline="0" multipleItemSelectionAllowed="1" showAll="0" sortType="descending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compact="0" outline="0" multipleItemSelectionAllowed="1" showAll="0"/>
    <pivotField name="seniority_by_title" compact="0" outline="0" multipleItemSelectionAllowed="1" showAll="0"/>
    <pivotField name="Degree" compact="0" outline="0" multipleItemSelectionAllowed="1" showAll="0"/>
  </pivotFields>
  <rowFields count="1">
    <field x="18"/>
  </rowFields>
  <rowItems count="38">
    <i>
      <x v="6"/>
    </i>
    <i>
      <x v="11"/>
    </i>
    <i>
      <x v="16"/>
    </i>
    <i>
      <x v="8"/>
    </i>
    <i>
      <x v="9"/>
    </i>
    <i>
      <x v="15"/>
    </i>
    <i>
      <x v="33"/>
    </i>
    <i>
      <x v="4"/>
    </i>
    <i>
      <x v="25"/>
    </i>
    <i>
      <x v="1"/>
    </i>
    <i>
      <x v="12"/>
    </i>
    <i>
      <x v="7"/>
    </i>
    <i>
      <x v="29"/>
    </i>
    <i>
      <x v="20"/>
    </i>
    <i>
      <x v="3"/>
    </i>
    <i>
      <x v="5"/>
    </i>
    <i>
      <x v="13"/>
    </i>
    <i>
      <x v="22"/>
    </i>
    <i>
      <x v="30"/>
    </i>
    <i>
      <x v="17"/>
    </i>
    <i>
      <x v="36"/>
    </i>
    <i>
      <x v="10"/>
    </i>
    <i>
      <x v="26"/>
    </i>
    <i>
      <x v="28"/>
    </i>
    <i>
      <x v="19"/>
    </i>
    <i>
      <x v="21"/>
    </i>
    <i>
      <x v="34"/>
    </i>
    <i>
      <x v="2"/>
    </i>
    <i>
      <x/>
    </i>
    <i>
      <x v="24"/>
    </i>
    <i>
      <x v="14"/>
    </i>
    <i>
      <x v="35"/>
    </i>
    <i>
      <x v="18"/>
    </i>
    <i>
      <x v="23"/>
    </i>
    <i>
      <x v="31"/>
    </i>
    <i>
      <x v="32"/>
    </i>
    <i>
      <x v="27"/>
    </i>
    <i t="grand">
      <x/>
    </i>
  </rowItems>
  <colItems count="1">
    <i/>
  </colItems>
  <dataFields count="1">
    <dataField name="Avg Salary" fld="1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 Tables  3" cacheId="6" applyNumberFormats="0" applyBorderFormats="0" applyFontFormats="0" applyPatternFormats="0" applyAlignmentFormats="0" applyWidthHeightFormats="0" dataCaption="" updatedVersion="8" compact="0" compactData="0">
  <location ref="G2:H40" firstHeaderRow="1" firstDataRow="1" firstDataCol="1"/>
  <pivotFields count="39">
    <pivotField name="ID" compact="0" outline="0" multipleItemSelectionAllowed="1" showAll="0"/>
    <pivotField name="Job_Title" compact="0" outline="0" multipleItemSelectionAllowed="1" showAll="0"/>
    <pivotField name="Rating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compact="0" outline="0" multipleItemSelectionAllowed="1" showAll="0"/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dataField="1" compact="0" numFmtId="164" outline="0" multipleItemSelectionAllowed="1" showAll="0"/>
    <pivotField name="Upper_Salary" compact="0" numFmtId="164" outline="0" multipleItemSelectionAllowed="1" showAll="0"/>
    <pivotField name="Avg_SalaryK" compact="0" numFmtId="164" outline="0" multipleItemSelectionAllowed="1" showAll="0"/>
    <pivotField name="Job_Location" axis="axisRow" compact="0" outline="0" multipleItemSelectionAllowed="1" showAll="0" sortType="ascending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compact="0" outline="0" multipleItemSelectionAllowed="1" showAll="0"/>
    <pivotField name="seniority_by_title" compact="0" outline="0" multipleItemSelectionAllowed="1" showAll="0"/>
    <pivotField name="Degree" compact="0" outline="0" multipleItemSelectionAllowed="1" showAll="0"/>
  </pivotFields>
  <rowFields count="1">
    <field x="18"/>
  </rowFields>
  <rowItems count="38">
    <i>
      <x v="35"/>
    </i>
    <i>
      <x v="27"/>
    </i>
    <i>
      <x v="32"/>
    </i>
    <i>
      <x v="23"/>
    </i>
    <i>
      <x v="18"/>
    </i>
    <i>
      <x v="31"/>
    </i>
    <i>
      <x v="24"/>
    </i>
    <i>
      <x/>
    </i>
    <i>
      <x v="21"/>
    </i>
    <i>
      <x v="34"/>
    </i>
    <i>
      <x v="14"/>
    </i>
    <i>
      <x v="19"/>
    </i>
    <i>
      <x v="28"/>
    </i>
    <i>
      <x v="2"/>
    </i>
    <i>
      <x v="36"/>
    </i>
    <i>
      <x v="17"/>
    </i>
    <i>
      <x v="30"/>
    </i>
    <i>
      <x v="22"/>
    </i>
    <i>
      <x v="10"/>
    </i>
    <i>
      <x v="26"/>
    </i>
    <i>
      <x v="12"/>
    </i>
    <i>
      <x v="20"/>
    </i>
    <i>
      <x v="13"/>
    </i>
    <i>
      <x v="1"/>
    </i>
    <i>
      <x v="5"/>
    </i>
    <i>
      <x v="29"/>
    </i>
    <i>
      <x v="25"/>
    </i>
    <i>
      <x v="7"/>
    </i>
    <i>
      <x v="3"/>
    </i>
    <i>
      <x v="4"/>
    </i>
    <i>
      <x v="33"/>
    </i>
    <i>
      <x v="9"/>
    </i>
    <i>
      <x v="15"/>
    </i>
    <i>
      <x v="8"/>
    </i>
    <i>
      <x v="11"/>
    </i>
    <i>
      <x v="16"/>
    </i>
    <i>
      <x v="6"/>
    </i>
    <i t="grand">
      <x/>
    </i>
  </rowItems>
  <colItems count="1">
    <i/>
  </colItems>
  <dataFields count="1">
    <dataField name="Min Avg Salary" fld="15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 Tables  4" cacheId="6" applyNumberFormats="0" applyBorderFormats="0" applyFontFormats="0" applyPatternFormats="0" applyAlignmentFormats="0" applyWidthHeightFormats="0" dataCaption="" updatedVersion="8" compact="0" compactData="0">
  <location ref="J2:K40" firstHeaderRow="1" firstDataRow="1" firstDataCol="1"/>
  <pivotFields count="39">
    <pivotField name="ID" compact="0" outline="0" multipleItemSelectionAllowed="1" showAll="0"/>
    <pivotField name="Job_Title" compact="0" outline="0" multipleItemSelectionAllowed="1" showAll="0"/>
    <pivotField name="Rating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compact="0" outline="0" multipleItemSelectionAllowed="1" showAll="0"/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compact="0" numFmtId="164" outline="0" multipleItemSelectionAllowed="1" showAll="0"/>
    <pivotField name="Upper_Salary" dataField="1" compact="0" numFmtId="164" outline="0" multipleItemSelectionAllowed="1" showAll="0"/>
    <pivotField name="Avg_SalaryK" compact="0" numFmtId="164" outline="0" multipleItemSelectionAllowed="1" showAll="0"/>
    <pivotField name="Job_Location" axis="axisRow" compact="0" outline="0" multipleItemSelectionAllowed="1" showAll="0" sortType="descending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compact="0" outline="0" multipleItemSelectionAllowed="1" showAll="0"/>
    <pivotField name="seniority_by_title" compact="0" outline="0" multipleItemSelectionAllowed="1" showAll="0"/>
    <pivotField name="Degree" compact="0" outline="0" multipleItemSelectionAllowed="1" showAll="0"/>
  </pivotFields>
  <rowFields count="1">
    <field x="18"/>
  </rowFields>
  <rowItems count="38">
    <i>
      <x v="6"/>
    </i>
    <i>
      <x v="11"/>
    </i>
    <i>
      <x v="8"/>
    </i>
    <i>
      <x v="9"/>
    </i>
    <i>
      <x v="16"/>
    </i>
    <i>
      <x v="25"/>
    </i>
    <i>
      <x v="12"/>
    </i>
    <i>
      <x v="1"/>
    </i>
    <i>
      <x v="33"/>
    </i>
    <i>
      <x v="4"/>
    </i>
    <i>
      <x v="15"/>
    </i>
    <i>
      <x v="7"/>
    </i>
    <i>
      <x v="20"/>
    </i>
    <i>
      <x v="29"/>
    </i>
    <i>
      <x v="5"/>
    </i>
    <i>
      <x v="22"/>
    </i>
    <i>
      <x v="13"/>
    </i>
    <i>
      <x v="30"/>
    </i>
    <i>
      <x v="3"/>
    </i>
    <i>
      <x v="36"/>
    </i>
    <i>
      <x v="17"/>
    </i>
    <i>
      <x v="28"/>
    </i>
    <i>
      <x v="19"/>
    </i>
    <i>
      <x v="10"/>
    </i>
    <i>
      <x v="21"/>
    </i>
    <i>
      <x v="26"/>
    </i>
    <i>
      <x v="34"/>
    </i>
    <i>
      <x v="2"/>
    </i>
    <i>
      <x/>
    </i>
    <i>
      <x v="24"/>
    </i>
    <i>
      <x v="14"/>
    </i>
    <i>
      <x v="35"/>
    </i>
    <i>
      <x v="23"/>
    </i>
    <i>
      <x v="18"/>
    </i>
    <i>
      <x v="32"/>
    </i>
    <i>
      <x v="31"/>
    </i>
    <i>
      <x v="27"/>
    </i>
    <i t="grand">
      <x/>
    </i>
  </rowItems>
  <colItems count="1">
    <i/>
  </colItems>
  <dataFields count="1">
    <dataField name="Max Avg Salary" fld="16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 Tables  5" cacheId="6" applyNumberFormats="0" applyBorderFormats="0" applyFontFormats="0" applyPatternFormats="0" applyAlignmentFormats="0" applyWidthHeightFormats="0" dataCaption="" updatedVersion="8" compact="0" compactData="0">
  <location ref="M2:N12" firstHeaderRow="1" firstDataRow="1" firstDataCol="1"/>
  <pivotFields count="39">
    <pivotField name="ID" compact="0" outline="0" multipleItemSelectionAllowed="1" showAll="0"/>
    <pivotField name="Job_Title" compact="0" outline="0" multipleItemSelectionAllowed="1" showAll="0"/>
    <pivotField name="Rating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compact="0" outline="0" multipleItemSelectionAllowed="1" showAll="0"/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compact="0" numFmtId="164" outline="0" multipleItemSelectionAllowed="1" showAll="0"/>
    <pivotField name="Upper_Salary" compact="0" numFmtId="164" outline="0" multipleItemSelectionAllowed="1" showAll="0"/>
    <pivotField name="Avg_SalaryK" compact="0" numFmtId="164" outline="0" multipleItemSelectionAllowed="1" showAll="0"/>
    <pivotField name="Job_Location" compact="0" outline="0" multipleItemSelectionAllowed="1" showAll="0"/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axis="axisRow" dataField="1" compact="0" outline="0" multipleItemSelectionAllowed="1" showAll="0" sortType="ascending">
      <items count="11">
        <item x="2"/>
        <item m="1" x="9"/>
        <item x="4"/>
        <item x="3"/>
        <item x="5"/>
        <item x="0"/>
        <item x="6"/>
        <item x="8"/>
        <item x="7"/>
        <item x="1"/>
        <item t="default"/>
      </items>
    </pivotField>
    <pivotField name="seniority_by_title" compact="0" outline="0" multipleItemSelectionAllowed="1" showAll="0"/>
    <pivotField name="Degree" compact="0" outline="0" multipleItemSelectionAllowed="1" showAll="0"/>
  </pivotFields>
  <rowFields count="1">
    <field x="36"/>
  </rowFields>
  <rowItems count="10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Job Count" fld="3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 Tables  6" cacheId="6" applyNumberFormats="0" applyBorderFormats="0" applyFontFormats="0" applyPatternFormats="0" applyAlignmentFormats="0" applyWidthHeightFormats="0" dataCaption="" updatedVersion="8" compact="0" compactData="0">
  <location ref="AO2:AR13" firstHeaderRow="1" firstDataRow="2" firstDataCol="1"/>
  <pivotFields count="39">
    <pivotField name="ID" compact="0" outline="0" multipleItemSelectionAllowed="1" showAll="0"/>
    <pivotField name="Job_Title" compact="0" outline="0" multipleItemSelectionAllowed="1" showAll="0"/>
    <pivotField name="Rating" dataField="1" compact="0" outline="0" multipleItemSelectionAllowed="1" showAll="0"/>
    <pivotField name="Company_Name" compact="0" outline="0" multipleItemSelectionAllowed="1" showAll="0"/>
    <pivotField name="Location" compact="0" outline="0" multipleItemSelectionAllowed="1" showAll="0"/>
    <pivotField name="Headquarters" compact="0" outline="0" multipleItemSelectionAllowed="1" showAll="0"/>
    <pivotField name="Size" compact="0" outline="0" multipleItemSelectionAllowed="1" showAll="0"/>
    <pivotField name="Founded" compact="0" outline="0" multipleItemSelectionAllowed="1" showAll="0"/>
    <pivotField name="Type_of_ownership" axis="axisRow" dataField="1" compact="0" outline="0" multipleItemSelectionAllowed="1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Industry" compact="0" outline="0" multipleItemSelectionAllowed="1" showAll="0"/>
    <pivotField name="Sector" compact="0" outline="0" multipleItemSelectionAllowed="1" showAll="0"/>
    <pivotField name="Revenue" compact="0" outline="0" multipleItemSelectionAllowed="1" showAll="0"/>
    <pivotField name="Competitors" compact="0" outline="0" multipleItemSelectionAllowed="1" showAll="0"/>
    <pivotField name="Hourly" compact="0" outline="0" multipleItemSelectionAllowed="1" showAll="0"/>
    <pivotField name="Employer_provided" compact="0" outline="0" multipleItemSelectionAllowed="1" showAll="0"/>
    <pivotField name="Lower_Salary" compact="0" numFmtId="164" outline="0" multipleItemSelectionAllowed="1" showAll="0"/>
    <pivotField name="Upper_Salary" compact="0" numFmtId="164" outline="0" multipleItemSelectionAllowed="1" showAll="0"/>
    <pivotField name="Avg_SalaryK" dataField="1" compact="0" numFmtId="164" outline="0" multipleItemSelectionAllowed="1" showAll="0"/>
    <pivotField name="Job_Location" compact="0" outline="0" multipleItemSelectionAllowed="1" showAll="0"/>
    <pivotField name="Age" compact="0" outline="0" multipleItemSelectionAllowed="1" showAll="0"/>
    <pivotField name="Python" compact="0" outline="0" multipleItemSelectionAllowed="1" showAll="0"/>
    <pivotField name="spark" compact="0" outline="0" multipleItemSelectionAllowed="1" showAll="0"/>
    <pivotField name="aws" compact="0" outline="0" multipleItemSelectionAllowed="1" showAll="0"/>
    <pivotField name="excel" compact="0" outline="0" multipleItemSelectionAllowed="1" showAll="0"/>
    <pivotField name="sql_" compact="0" outline="0" multipleItemSelectionAllowed="1" showAll="0"/>
    <pivotField name="sas" compact="0" outline="0" multipleItemSelectionAllowed="1" showAll="0"/>
    <pivotField name="keras" compact="0" outline="0" multipleItemSelectionAllowed="1" showAll="0"/>
    <pivotField name="pytorch" compact="0" outline="0" multipleItemSelectionAllowed="1" showAll="0"/>
    <pivotField name="scikit" compact="0" outline="0" multipleItemSelectionAllowed="1" showAll="0"/>
    <pivotField name="tensor" compact="0" outline="0" multipleItemSelectionAllowed="1" showAll="0"/>
    <pivotField name="hadoop" compact="0" outline="0" multipleItemSelectionAllowed="1" showAll="0"/>
    <pivotField name="tableau" compact="0" outline="0" multipleItemSelectionAllowed="1" showAll="0"/>
    <pivotField name="bi" compact="0" outline="0" multipleItemSelectionAllowed="1" showAll="0"/>
    <pivotField name="flink" compact="0" outline="0" multipleItemSelectionAllowed="1" showAll="0"/>
    <pivotField name="mongo" compact="0" outline="0" multipleItemSelectionAllowed="1" showAll="0"/>
    <pivotField name="google_an" compact="0" outline="0" multipleItemSelectionAllowed="1" showAll="0"/>
    <pivotField name="job_title_sim" compact="0" outline="0" multipleItemSelectionAllowed="1" showAll="0"/>
    <pivotField name="seniority_by_title" compact="0" outline="0" multipleItemSelectionAllowed="1" showAll="0"/>
    <pivotField name="Degree" compact="0" outline="0" multipleItemSelectionAllowed="1" showAll="0"/>
  </pivotFields>
  <rowFields count="1">
    <field x="8"/>
  </rowFields>
  <rowItems count="10">
    <i>
      <x/>
    </i>
    <i>
      <x v="3"/>
    </i>
    <i>
      <x v="6"/>
    </i>
    <i>
      <x v="5"/>
    </i>
    <i>
      <x v="2"/>
    </i>
    <i>
      <x v="4"/>
    </i>
    <i>
      <x v="7"/>
    </i>
    <i>
      <x v="1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ype_of_ownership" fld="8" subtotal="count" baseField="0"/>
    <dataField name="Avg Salary" fld="17" subtotal="average" baseField="0"/>
    <dataField name="Average of Rating" fld="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45"/>
  <sheetViews>
    <sheetView topLeftCell="E1" workbookViewId="0">
      <selection activeCell="I1" sqref="I1:I1048576"/>
    </sheetView>
  </sheetViews>
  <sheetFormatPr defaultColWidth="14.42578125" defaultRowHeight="15" customHeight="1" x14ac:dyDescent="0.25"/>
  <cols>
    <col min="1" max="1" width="4" bestFit="1" customWidth="1"/>
    <col min="2" max="2" width="110.28515625" bestFit="1" customWidth="1"/>
    <col min="3" max="3" width="6.85546875" style="60" bestFit="1" customWidth="1"/>
    <col min="4" max="4" width="48.42578125" style="64" bestFit="1" customWidth="1"/>
    <col min="5" max="5" width="16.7109375" style="64" bestFit="1" customWidth="1"/>
    <col min="6" max="6" width="25" style="64" bestFit="1" customWidth="1"/>
    <col min="7" max="7" width="11.7109375" style="67" bestFit="1" customWidth="1"/>
    <col min="8" max="8" width="9" style="67" bestFit="1" customWidth="1"/>
    <col min="9" max="9" width="28.7109375" style="64" bestFit="1" customWidth="1"/>
    <col min="10" max="10" width="36.5703125" style="64" bestFit="1" customWidth="1"/>
    <col min="11" max="11" width="31.5703125" style="64" bestFit="1" customWidth="1"/>
    <col min="12" max="12" width="23.140625" style="64" bestFit="1" customWidth="1"/>
    <col min="13" max="13" width="83.85546875" style="64" bestFit="1" customWidth="1"/>
    <col min="14" max="14" width="6.85546875" bestFit="1" customWidth="1"/>
    <col min="15" max="15" width="18.85546875" style="67" bestFit="1" customWidth="1"/>
    <col min="16" max="16" width="13.7109375" style="71" bestFit="1" customWidth="1"/>
    <col min="17" max="17" width="13.42578125" style="71" bestFit="1" customWidth="1"/>
    <col min="18" max="18" width="12.5703125" style="71" bestFit="1" customWidth="1"/>
    <col min="19" max="19" width="13.28515625" style="64" bestFit="1" customWidth="1"/>
    <col min="20" max="20" width="8.5703125" style="67" bestFit="1" customWidth="1"/>
    <col min="21" max="21" width="7.28515625" style="67" bestFit="1" customWidth="1"/>
    <col min="22" max="22" width="5.85546875" style="67" bestFit="1" customWidth="1"/>
    <col min="23" max="23" width="4.5703125" style="67" bestFit="1" customWidth="1"/>
    <col min="24" max="24" width="6" style="67" bestFit="1" customWidth="1"/>
    <col min="25" max="25" width="4.5703125" style="67" bestFit="1" customWidth="1"/>
    <col min="26" max="26" width="3.85546875" style="67" bestFit="1" customWidth="1"/>
    <col min="27" max="27" width="5.85546875" style="67" bestFit="1" customWidth="1"/>
    <col min="28" max="28" width="7.7109375" style="67" bestFit="1" customWidth="1"/>
    <col min="29" max="29" width="5.5703125" style="67" bestFit="1" customWidth="1"/>
    <col min="30" max="30" width="6.5703125" style="67" bestFit="1" customWidth="1"/>
    <col min="31" max="32" width="7.85546875" style="67" bestFit="1" customWidth="1"/>
    <col min="33" max="33" width="2.7109375" style="67" bestFit="1" customWidth="1"/>
    <col min="34" max="34" width="4.85546875" style="67" bestFit="1" customWidth="1"/>
    <col min="35" max="35" width="7.28515625" style="67" bestFit="1" customWidth="1"/>
    <col min="36" max="36" width="10.5703125" style="67" bestFit="1" customWidth="1"/>
    <col min="37" max="37" width="26.85546875" style="64" bestFit="1" customWidth="1"/>
    <col min="38" max="38" width="16.42578125" style="64" bestFit="1" customWidth="1"/>
    <col min="39" max="39" width="14.140625" style="64" bestFit="1" customWidth="1"/>
    <col min="40" max="41" width="8.7109375" customWidth="1"/>
  </cols>
  <sheetData>
    <row r="1" spans="1:41" x14ac:dyDescent="0.25">
      <c r="A1" s="1" t="s">
        <v>0</v>
      </c>
      <c r="B1" s="56" t="s">
        <v>1</v>
      </c>
      <c r="C1" s="57" t="s">
        <v>2</v>
      </c>
      <c r="D1" s="56" t="s">
        <v>3</v>
      </c>
      <c r="E1" s="56" t="s">
        <v>4</v>
      </c>
      <c r="F1" s="56" t="s">
        <v>5</v>
      </c>
      <c r="G1" s="65" t="s">
        <v>6</v>
      </c>
      <c r="H1" s="65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65" t="s">
        <v>13</v>
      </c>
      <c r="O1" s="65" t="s">
        <v>14</v>
      </c>
      <c r="P1" s="68" t="s">
        <v>15</v>
      </c>
      <c r="Q1" s="68" t="s">
        <v>16</v>
      </c>
      <c r="R1" s="68" t="s">
        <v>17</v>
      </c>
      <c r="S1" s="56" t="s">
        <v>18</v>
      </c>
      <c r="T1" s="65" t="s">
        <v>19</v>
      </c>
      <c r="U1" s="65" t="s">
        <v>20</v>
      </c>
      <c r="V1" s="65" t="s">
        <v>21</v>
      </c>
      <c r="W1" s="65" t="s">
        <v>22</v>
      </c>
      <c r="X1" s="65" t="s">
        <v>23</v>
      </c>
      <c r="Y1" s="65" t="s">
        <v>24</v>
      </c>
      <c r="Z1" s="65" t="s">
        <v>25</v>
      </c>
      <c r="AA1" s="65" t="s">
        <v>26</v>
      </c>
      <c r="AB1" s="65" t="s">
        <v>27</v>
      </c>
      <c r="AC1" s="65" t="s">
        <v>28</v>
      </c>
      <c r="AD1" s="65" t="s">
        <v>29</v>
      </c>
      <c r="AE1" s="65" t="s">
        <v>30</v>
      </c>
      <c r="AF1" s="65" t="s">
        <v>31</v>
      </c>
      <c r="AG1" s="65" t="s">
        <v>32</v>
      </c>
      <c r="AH1" s="65" t="s">
        <v>33</v>
      </c>
      <c r="AI1" s="65" t="s">
        <v>34</v>
      </c>
      <c r="AJ1" s="65" t="s">
        <v>35</v>
      </c>
      <c r="AK1" s="56" t="s">
        <v>36</v>
      </c>
      <c r="AL1" s="56" t="s">
        <v>37</v>
      </c>
      <c r="AM1" s="56" t="s">
        <v>38</v>
      </c>
      <c r="AN1" s="2"/>
      <c r="AO1" s="3"/>
    </row>
    <row r="2" spans="1:41" x14ac:dyDescent="0.25">
      <c r="A2" s="4">
        <v>1</v>
      </c>
      <c r="B2" s="5" t="s">
        <v>39</v>
      </c>
      <c r="C2" s="58">
        <v>3.8</v>
      </c>
      <c r="D2" s="61" t="s">
        <v>40</v>
      </c>
      <c r="E2" s="72" t="s">
        <v>41</v>
      </c>
      <c r="F2" s="62" t="s">
        <v>42</v>
      </c>
      <c r="G2" s="8" t="s">
        <v>43</v>
      </c>
      <c r="H2" s="8">
        <v>1973</v>
      </c>
      <c r="I2" s="62" t="s">
        <v>44</v>
      </c>
      <c r="J2" s="62" t="s">
        <v>45</v>
      </c>
      <c r="K2" s="62" t="s">
        <v>45</v>
      </c>
      <c r="L2" s="62" t="s">
        <v>46</v>
      </c>
      <c r="M2" s="62" t="s">
        <v>47</v>
      </c>
      <c r="N2" s="5">
        <v>0</v>
      </c>
      <c r="O2" s="8">
        <v>0</v>
      </c>
      <c r="P2" s="69">
        <v>53000</v>
      </c>
      <c r="Q2" s="69">
        <v>91000</v>
      </c>
      <c r="R2" s="69">
        <v>72000</v>
      </c>
      <c r="S2" s="62" t="s">
        <v>48</v>
      </c>
      <c r="T2" s="8">
        <f t="shared" ref="T2:T42" si="0">2023-H2</f>
        <v>50</v>
      </c>
      <c r="U2" s="8">
        <v>1</v>
      </c>
      <c r="V2" s="8">
        <v>0</v>
      </c>
      <c r="W2" s="8">
        <v>0</v>
      </c>
      <c r="X2" s="8">
        <v>1</v>
      </c>
      <c r="Y2" s="8">
        <v>0</v>
      </c>
      <c r="Z2" s="8">
        <v>1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1</v>
      </c>
      <c r="AG2" s="8">
        <v>1</v>
      </c>
      <c r="AH2" s="8">
        <v>0</v>
      </c>
      <c r="AI2" s="8">
        <v>0</v>
      </c>
      <c r="AJ2" s="8">
        <v>0</v>
      </c>
      <c r="AK2" s="62" t="s">
        <v>49</v>
      </c>
      <c r="AL2" s="62" t="s">
        <v>50</v>
      </c>
      <c r="AM2" s="62" t="s">
        <v>51</v>
      </c>
      <c r="AN2" s="5"/>
      <c r="AO2" s="7"/>
    </row>
    <row r="3" spans="1:41" x14ac:dyDescent="0.25">
      <c r="A3" s="4">
        <v>2</v>
      </c>
      <c r="B3" s="5" t="s">
        <v>52</v>
      </c>
      <c r="C3" s="58">
        <v>3.4</v>
      </c>
      <c r="D3" s="61" t="s">
        <v>53</v>
      </c>
      <c r="E3" s="72" t="s">
        <v>54</v>
      </c>
      <c r="F3" s="62" t="s">
        <v>55</v>
      </c>
      <c r="G3" s="8" t="s">
        <v>56</v>
      </c>
      <c r="H3" s="8">
        <v>1984</v>
      </c>
      <c r="I3" s="62" t="s">
        <v>57</v>
      </c>
      <c r="J3" s="62" t="s">
        <v>58</v>
      </c>
      <c r="K3" s="62" t="s">
        <v>59</v>
      </c>
      <c r="L3" s="62" t="s">
        <v>60</v>
      </c>
      <c r="M3" s="62" t="s">
        <v>47</v>
      </c>
      <c r="N3" s="5">
        <v>0</v>
      </c>
      <c r="O3" s="8">
        <v>0</v>
      </c>
      <c r="P3" s="69">
        <v>63000</v>
      </c>
      <c r="Q3" s="69">
        <v>112000</v>
      </c>
      <c r="R3" s="69">
        <v>87500</v>
      </c>
      <c r="S3" s="62" t="s">
        <v>61</v>
      </c>
      <c r="T3" s="8">
        <f t="shared" si="0"/>
        <v>39</v>
      </c>
      <c r="U3" s="8">
        <v>1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62" t="s">
        <v>49</v>
      </c>
      <c r="AL3" s="62" t="s">
        <v>50</v>
      </c>
      <c r="AM3" s="62" t="s">
        <v>51</v>
      </c>
      <c r="AN3" s="5"/>
      <c r="AO3" s="7"/>
    </row>
    <row r="4" spans="1:41" x14ac:dyDescent="0.25">
      <c r="A4" s="4">
        <v>3</v>
      </c>
      <c r="B4" s="5" t="s">
        <v>39</v>
      </c>
      <c r="C4" s="58">
        <v>4.8</v>
      </c>
      <c r="D4" s="61" t="s">
        <v>62</v>
      </c>
      <c r="E4" s="72" t="s">
        <v>63</v>
      </c>
      <c r="F4" s="62" t="s">
        <v>63</v>
      </c>
      <c r="G4" s="8" t="s">
        <v>43</v>
      </c>
      <c r="H4" s="8">
        <v>2010</v>
      </c>
      <c r="I4" s="62" t="s">
        <v>44</v>
      </c>
      <c r="J4" s="62" t="s">
        <v>64</v>
      </c>
      <c r="K4" s="62" t="s">
        <v>65</v>
      </c>
      <c r="L4" s="62" t="s">
        <v>66</v>
      </c>
      <c r="M4" s="62" t="s">
        <v>47</v>
      </c>
      <c r="N4" s="5">
        <v>0</v>
      </c>
      <c r="O4" s="8">
        <v>0</v>
      </c>
      <c r="P4" s="69">
        <v>80000</v>
      </c>
      <c r="Q4" s="69">
        <v>90000</v>
      </c>
      <c r="R4" s="69">
        <v>85000</v>
      </c>
      <c r="S4" s="62" t="s">
        <v>67</v>
      </c>
      <c r="T4" s="8">
        <f t="shared" si="0"/>
        <v>13</v>
      </c>
      <c r="U4" s="8">
        <v>1</v>
      </c>
      <c r="V4" s="8">
        <v>1</v>
      </c>
      <c r="W4" s="8">
        <v>0</v>
      </c>
      <c r="X4" s="8">
        <v>1</v>
      </c>
      <c r="Y4" s="8">
        <v>1</v>
      </c>
      <c r="Z4" s="8">
        <v>1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62" t="s">
        <v>49</v>
      </c>
      <c r="AL4" s="62" t="s">
        <v>50</v>
      </c>
      <c r="AM4" s="62" t="s">
        <v>51</v>
      </c>
      <c r="AN4" s="5"/>
      <c r="AO4" s="7"/>
    </row>
    <row r="5" spans="1:41" x14ac:dyDescent="0.25">
      <c r="A5" s="4">
        <v>4</v>
      </c>
      <c r="B5" s="5" t="s">
        <v>39</v>
      </c>
      <c r="C5" s="58">
        <v>3.8</v>
      </c>
      <c r="D5" s="61" t="s">
        <v>68</v>
      </c>
      <c r="E5" s="72" t="s">
        <v>69</v>
      </c>
      <c r="F5" s="62" t="s">
        <v>69</v>
      </c>
      <c r="G5" s="8" t="s">
        <v>70</v>
      </c>
      <c r="H5" s="8">
        <v>1965</v>
      </c>
      <c r="I5" s="62" t="s">
        <v>71</v>
      </c>
      <c r="J5" s="62" t="s">
        <v>72</v>
      </c>
      <c r="K5" s="62" t="s">
        <v>73</v>
      </c>
      <c r="L5" s="62" t="s">
        <v>74</v>
      </c>
      <c r="M5" s="62" t="s">
        <v>75</v>
      </c>
      <c r="N5" s="5">
        <v>0</v>
      </c>
      <c r="O5" s="8">
        <v>0</v>
      </c>
      <c r="P5" s="69">
        <v>56000</v>
      </c>
      <c r="Q5" s="69">
        <v>97000</v>
      </c>
      <c r="R5" s="69">
        <v>76500</v>
      </c>
      <c r="S5" s="62" t="s">
        <v>76</v>
      </c>
      <c r="T5" s="8">
        <f t="shared" si="0"/>
        <v>58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62" t="s">
        <v>49</v>
      </c>
      <c r="AL5" s="62" t="s">
        <v>50</v>
      </c>
      <c r="AM5" s="62" t="s">
        <v>77</v>
      </c>
      <c r="AN5" s="5"/>
      <c r="AO5" s="7"/>
    </row>
    <row r="6" spans="1:41" x14ac:dyDescent="0.25">
      <c r="A6" s="4">
        <v>5</v>
      </c>
      <c r="B6" s="5" t="s">
        <v>39</v>
      </c>
      <c r="C6" s="58">
        <v>2.9</v>
      </c>
      <c r="D6" s="61" t="s">
        <v>78</v>
      </c>
      <c r="E6" s="72" t="s">
        <v>79</v>
      </c>
      <c r="F6" s="62" t="s">
        <v>80</v>
      </c>
      <c r="G6" s="8" t="s">
        <v>81</v>
      </c>
      <c r="H6" s="8">
        <v>1998</v>
      </c>
      <c r="I6" s="62" t="s">
        <v>44</v>
      </c>
      <c r="J6" s="62" t="s">
        <v>82</v>
      </c>
      <c r="K6" s="62" t="s">
        <v>65</v>
      </c>
      <c r="L6" s="62" t="s">
        <v>83</v>
      </c>
      <c r="M6" s="62" t="s">
        <v>84</v>
      </c>
      <c r="N6" s="5">
        <v>0</v>
      </c>
      <c r="O6" s="8">
        <v>0</v>
      </c>
      <c r="P6" s="69">
        <v>86000</v>
      </c>
      <c r="Q6" s="69">
        <v>143000</v>
      </c>
      <c r="R6" s="69">
        <v>114500</v>
      </c>
      <c r="S6" s="62" t="s">
        <v>85</v>
      </c>
      <c r="T6" s="8">
        <f t="shared" si="0"/>
        <v>25</v>
      </c>
      <c r="U6" s="8">
        <v>1</v>
      </c>
      <c r="V6" s="8">
        <v>0</v>
      </c>
      <c r="W6" s="8">
        <v>0</v>
      </c>
      <c r="X6" s="8">
        <v>1</v>
      </c>
      <c r="Y6" s="8">
        <v>1</v>
      </c>
      <c r="Z6" s="8">
        <v>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62" t="s">
        <v>49</v>
      </c>
      <c r="AL6" s="62" t="s">
        <v>50</v>
      </c>
      <c r="AM6" s="62" t="s">
        <v>77</v>
      </c>
      <c r="AN6" s="5"/>
      <c r="AO6" s="7"/>
    </row>
    <row r="7" spans="1:41" x14ac:dyDescent="0.25">
      <c r="A7" s="4">
        <v>6</v>
      </c>
      <c r="B7" s="5" t="s">
        <v>39</v>
      </c>
      <c r="C7" s="58">
        <v>3.4</v>
      </c>
      <c r="D7" s="61" t="s">
        <v>86</v>
      </c>
      <c r="E7" s="72" t="s">
        <v>87</v>
      </c>
      <c r="F7" s="62" t="s">
        <v>87</v>
      </c>
      <c r="G7" s="8" t="s">
        <v>88</v>
      </c>
      <c r="H7" s="8">
        <v>2000</v>
      </c>
      <c r="I7" s="62" t="s">
        <v>89</v>
      </c>
      <c r="J7" s="62" t="s">
        <v>90</v>
      </c>
      <c r="K7" s="62" t="s">
        <v>90</v>
      </c>
      <c r="L7" s="62" t="s">
        <v>91</v>
      </c>
      <c r="M7" s="62" t="s">
        <v>92</v>
      </c>
      <c r="N7" s="5">
        <v>0</v>
      </c>
      <c r="O7" s="8">
        <v>0</v>
      </c>
      <c r="P7" s="69">
        <v>71000</v>
      </c>
      <c r="Q7" s="69">
        <v>119000</v>
      </c>
      <c r="R7" s="69">
        <v>95000</v>
      </c>
      <c r="S7" s="62" t="s">
        <v>93</v>
      </c>
      <c r="T7" s="8">
        <f t="shared" si="0"/>
        <v>23</v>
      </c>
      <c r="U7" s="8">
        <v>1</v>
      </c>
      <c r="V7" s="8">
        <v>0</v>
      </c>
      <c r="W7" s="8">
        <v>1</v>
      </c>
      <c r="X7" s="8">
        <v>1</v>
      </c>
      <c r="Y7" s="8">
        <v>1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1</v>
      </c>
      <c r="AH7" s="8">
        <v>0</v>
      </c>
      <c r="AI7" s="8">
        <v>1</v>
      </c>
      <c r="AJ7" s="8">
        <v>0</v>
      </c>
      <c r="AK7" s="62" t="s">
        <v>49</v>
      </c>
      <c r="AL7" s="62" t="s">
        <v>50</v>
      </c>
      <c r="AM7" s="62" t="s">
        <v>77</v>
      </c>
      <c r="AN7" s="5"/>
      <c r="AO7" s="7"/>
    </row>
    <row r="8" spans="1:41" x14ac:dyDescent="0.25">
      <c r="A8" s="4">
        <v>7</v>
      </c>
      <c r="B8" s="5" t="s">
        <v>39</v>
      </c>
      <c r="C8" s="58">
        <v>4.0999999999999996</v>
      </c>
      <c r="D8" s="61" t="s">
        <v>94</v>
      </c>
      <c r="E8" s="72" t="s">
        <v>55</v>
      </c>
      <c r="F8" s="62" t="s">
        <v>55</v>
      </c>
      <c r="G8" s="8" t="s">
        <v>43</v>
      </c>
      <c r="H8" s="8">
        <v>2008</v>
      </c>
      <c r="I8" s="62" t="s">
        <v>44</v>
      </c>
      <c r="J8" s="62" t="s">
        <v>95</v>
      </c>
      <c r="K8" s="62" t="s">
        <v>96</v>
      </c>
      <c r="L8" s="62" t="s">
        <v>83</v>
      </c>
      <c r="M8" s="62" t="s">
        <v>47</v>
      </c>
      <c r="N8" s="5">
        <v>0</v>
      </c>
      <c r="O8" s="8">
        <v>0</v>
      </c>
      <c r="P8" s="69">
        <v>54000</v>
      </c>
      <c r="Q8" s="69">
        <v>93000</v>
      </c>
      <c r="R8" s="69">
        <v>73500</v>
      </c>
      <c r="S8" s="62" t="s">
        <v>61</v>
      </c>
      <c r="T8" s="8">
        <f t="shared" si="0"/>
        <v>15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62" t="s">
        <v>49</v>
      </c>
      <c r="AL8" s="62" t="s">
        <v>50</v>
      </c>
      <c r="AM8" s="62" t="s">
        <v>77</v>
      </c>
      <c r="AN8" s="5"/>
      <c r="AO8" s="7"/>
    </row>
    <row r="9" spans="1:41" x14ac:dyDescent="0.25">
      <c r="A9" s="4">
        <v>8</v>
      </c>
      <c r="B9" s="5" t="s">
        <v>39</v>
      </c>
      <c r="C9" s="58">
        <v>3.8</v>
      </c>
      <c r="D9" s="61" t="s">
        <v>97</v>
      </c>
      <c r="E9" s="72" t="s">
        <v>98</v>
      </c>
      <c r="F9" s="62" t="s">
        <v>99</v>
      </c>
      <c r="G9" s="8" t="s">
        <v>88</v>
      </c>
      <c r="H9" s="8">
        <v>2005</v>
      </c>
      <c r="I9" s="62" t="s">
        <v>44</v>
      </c>
      <c r="J9" s="62" t="s">
        <v>100</v>
      </c>
      <c r="K9" s="62" t="s">
        <v>65</v>
      </c>
      <c r="L9" s="62" t="s">
        <v>101</v>
      </c>
      <c r="M9" s="62" t="s">
        <v>47</v>
      </c>
      <c r="N9" s="5">
        <v>0</v>
      </c>
      <c r="O9" s="8">
        <v>0</v>
      </c>
      <c r="P9" s="69">
        <v>86000</v>
      </c>
      <c r="Q9" s="69">
        <v>142000</v>
      </c>
      <c r="R9" s="69">
        <v>114000</v>
      </c>
      <c r="S9" s="62" t="s">
        <v>102</v>
      </c>
      <c r="T9" s="8">
        <f t="shared" si="0"/>
        <v>18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0</v>
      </c>
      <c r="AA9" s="8">
        <v>0</v>
      </c>
      <c r="AB9" s="8">
        <v>1</v>
      </c>
      <c r="AC9" s="8">
        <v>0</v>
      </c>
      <c r="AD9" s="8">
        <v>1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62" t="s">
        <v>49</v>
      </c>
      <c r="AL9" s="62" t="s">
        <v>50</v>
      </c>
      <c r="AM9" s="62" t="s">
        <v>51</v>
      </c>
      <c r="AN9" s="5"/>
      <c r="AO9" s="7"/>
    </row>
    <row r="10" spans="1:41" x14ac:dyDescent="0.25">
      <c r="A10" s="4">
        <v>9</v>
      </c>
      <c r="B10" s="5" t="s">
        <v>103</v>
      </c>
      <c r="C10" s="58">
        <v>3.3</v>
      </c>
      <c r="D10" s="61" t="s">
        <v>104</v>
      </c>
      <c r="E10" s="72" t="s">
        <v>105</v>
      </c>
      <c r="F10" s="62" t="s">
        <v>105</v>
      </c>
      <c r="G10" s="8" t="s">
        <v>56</v>
      </c>
      <c r="H10" s="8">
        <v>2014</v>
      </c>
      <c r="I10" s="62" t="s">
        <v>106</v>
      </c>
      <c r="J10" s="62" t="s">
        <v>58</v>
      </c>
      <c r="K10" s="62" t="s">
        <v>59</v>
      </c>
      <c r="L10" s="62" t="s">
        <v>74</v>
      </c>
      <c r="M10" s="62" t="s">
        <v>47</v>
      </c>
      <c r="N10" s="5">
        <v>0</v>
      </c>
      <c r="O10" s="8">
        <v>0</v>
      </c>
      <c r="P10" s="69">
        <v>38000</v>
      </c>
      <c r="Q10" s="69">
        <v>84000</v>
      </c>
      <c r="R10" s="69">
        <v>61000</v>
      </c>
      <c r="S10" s="62" t="s">
        <v>85</v>
      </c>
      <c r="T10" s="8">
        <f t="shared" si="0"/>
        <v>9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62" t="s">
        <v>107</v>
      </c>
      <c r="AL10" s="62" t="s">
        <v>50</v>
      </c>
      <c r="AM10" s="62" t="s">
        <v>108</v>
      </c>
      <c r="AN10" s="5"/>
      <c r="AO10" s="7"/>
    </row>
    <row r="11" spans="1:41" x14ac:dyDescent="0.25">
      <c r="A11" s="4">
        <v>10</v>
      </c>
      <c r="B11" s="5" t="s">
        <v>39</v>
      </c>
      <c r="C11" s="58">
        <v>4.5999999999999996</v>
      </c>
      <c r="D11" s="61" t="s">
        <v>109</v>
      </c>
      <c r="E11" s="72" t="s">
        <v>79</v>
      </c>
      <c r="F11" s="62" t="s">
        <v>80</v>
      </c>
      <c r="G11" s="8" t="s">
        <v>81</v>
      </c>
      <c r="H11" s="8">
        <v>2009</v>
      </c>
      <c r="I11" s="62" t="s">
        <v>44</v>
      </c>
      <c r="J11" s="62" t="s">
        <v>110</v>
      </c>
      <c r="K11" s="62" t="s">
        <v>111</v>
      </c>
      <c r="L11" s="62" t="s">
        <v>66</v>
      </c>
      <c r="M11" s="62" t="s">
        <v>112</v>
      </c>
      <c r="N11" s="5">
        <v>0</v>
      </c>
      <c r="O11" s="8">
        <v>0</v>
      </c>
      <c r="P11" s="69">
        <v>120000</v>
      </c>
      <c r="Q11" s="69">
        <v>160000</v>
      </c>
      <c r="R11" s="69">
        <v>140000</v>
      </c>
      <c r="S11" s="62" t="s">
        <v>85</v>
      </c>
      <c r="T11" s="8">
        <f t="shared" si="0"/>
        <v>14</v>
      </c>
      <c r="U11" s="8">
        <v>1</v>
      </c>
      <c r="V11" s="8"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62" t="s">
        <v>49</v>
      </c>
      <c r="AL11" s="62" t="s">
        <v>50</v>
      </c>
      <c r="AM11" s="62" t="s">
        <v>77</v>
      </c>
      <c r="AN11" s="5"/>
      <c r="AO11" s="7"/>
    </row>
    <row r="12" spans="1:41" x14ac:dyDescent="0.25">
      <c r="A12" s="4">
        <v>11</v>
      </c>
      <c r="B12" s="5" t="s">
        <v>39</v>
      </c>
      <c r="C12" s="58">
        <v>3.5</v>
      </c>
      <c r="D12" s="61" t="s">
        <v>113</v>
      </c>
      <c r="E12" s="72" t="s">
        <v>98</v>
      </c>
      <c r="F12" s="62" t="s">
        <v>114</v>
      </c>
      <c r="G12" s="8" t="s">
        <v>43</v>
      </c>
      <c r="H12" s="8">
        <v>2011</v>
      </c>
      <c r="I12" s="62" t="s">
        <v>44</v>
      </c>
      <c r="J12" s="62" t="s">
        <v>115</v>
      </c>
      <c r="K12" s="62" t="s">
        <v>116</v>
      </c>
      <c r="L12" s="62" t="s">
        <v>91</v>
      </c>
      <c r="M12" s="62" t="s">
        <v>47</v>
      </c>
      <c r="N12" s="5">
        <v>0</v>
      </c>
      <c r="O12" s="8">
        <v>0</v>
      </c>
      <c r="P12" s="69">
        <v>126000</v>
      </c>
      <c r="Q12" s="69">
        <v>201000</v>
      </c>
      <c r="R12" s="69">
        <v>163500</v>
      </c>
      <c r="S12" s="62" t="s">
        <v>102</v>
      </c>
      <c r="T12" s="8">
        <f t="shared" si="0"/>
        <v>12</v>
      </c>
      <c r="U12" s="8">
        <v>1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62" t="s">
        <v>49</v>
      </c>
      <c r="AL12" s="62" t="s">
        <v>50</v>
      </c>
      <c r="AM12" s="62" t="s">
        <v>77</v>
      </c>
      <c r="AN12" s="5"/>
      <c r="AO12" s="7"/>
    </row>
    <row r="13" spans="1:41" x14ac:dyDescent="0.25">
      <c r="A13" s="4">
        <v>12</v>
      </c>
      <c r="B13" s="5" t="s">
        <v>39</v>
      </c>
      <c r="C13" s="58">
        <v>4.0999999999999996</v>
      </c>
      <c r="D13" s="61" t="s">
        <v>117</v>
      </c>
      <c r="E13" s="72" t="s">
        <v>118</v>
      </c>
      <c r="F13" s="62" t="s">
        <v>119</v>
      </c>
      <c r="G13" s="8" t="s">
        <v>120</v>
      </c>
      <c r="H13" s="8">
        <v>1968</v>
      </c>
      <c r="I13" s="62" t="s">
        <v>89</v>
      </c>
      <c r="J13" s="62" t="s">
        <v>121</v>
      </c>
      <c r="K13" s="62" t="s">
        <v>65</v>
      </c>
      <c r="L13" s="62" t="s">
        <v>91</v>
      </c>
      <c r="M13" s="62" t="s">
        <v>47</v>
      </c>
      <c r="N13" s="5">
        <v>0</v>
      </c>
      <c r="O13" s="8">
        <v>0</v>
      </c>
      <c r="P13" s="69">
        <v>64000</v>
      </c>
      <c r="Q13" s="69">
        <v>106000</v>
      </c>
      <c r="R13" s="69">
        <v>85000</v>
      </c>
      <c r="S13" s="62" t="s">
        <v>122</v>
      </c>
      <c r="T13" s="8">
        <f t="shared" si="0"/>
        <v>55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62" t="s">
        <v>49</v>
      </c>
      <c r="AL13" s="62" t="s">
        <v>50</v>
      </c>
      <c r="AM13" s="62" t="s">
        <v>77</v>
      </c>
      <c r="AN13" s="5"/>
      <c r="AO13" s="7"/>
    </row>
    <row r="14" spans="1:41" x14ac:dyDescent="0.25">
      <c r="A14" s="4">
        <v>13</v>
      </c>
      <c r="B14" s="5" t="s">
        <v>123</v>
      </c>
      <c r="C14" s="58">
        <v>3.2</v>
      </c>
      <c r="D14" s="61" t="s">
        <v>124</v>
      </c>
      <c r="E14" s="72" t="s">
        <v>125</v>
      </c>
      <c r="F14" s="62" t="s">
        <v>126</v>
      </c>
      <c r="G14" s="8" t="s">
        <v>56</v>
      </c>
      <c r="H14" s="8">
        <v>1962</v>
      </c>
      <c r="I14" s="62" t="s">
        <v>89</v>
      </c>
      <c r="J14" s="62" t="s">
        <v>127</v>
      </c>
      <c r="K14" s="62" t="s">
        <v>116</v>
      </c>
      <c r="L14" s="62" t="s">
        <v>128</v>
      </c>
      <c r="M14" s="62" t="s">
        <v>129</v>
      </c>
      <c r="N14" s="5">
        <v>0</v>
      </c>
      <c r="O14" s="8">
        <v>0</v>
      </c>
      <c r="P14" s="69">
        <v>106000</v>
      </c>
      <c r="Q14" s="69">
        <v>172000</v>
      </c>
      <c r="R14" s="69">
        <v>139000</v>
      </c>
      <c r="S14" s="62" t="s">
        <v>93</v>
      </c>
      <c r="T14" s="8">
        <f t="shared" si="0"/>
        <v>61</v>
      </c>
      <c r="U14" s="8">
        <v>0</v>
      </c>
      <c r="V14" s="8">
        <v>0</v>
      </c>
      <c r="W14" s="8">
        <v>0</v>
      </c>
      <c r="X14" s="8">
        <v>0</v>
      </c>
      <c r="Y14" s="8">
        <v>1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62" t="s">
        <v>49</v>
      </c>
      <c r="AL14" s="62" t="s">
        <v>50</v>
      </c>
      <c r="AM14" s="62" t="s">
        <v>51</v>
      </c>
      <c r="AN14" s="5"/>
      <c r="AO14" s="7"/>
    </row>
    <row r="15" spans="1:41" x14ac:dyDescent="0.25">
      <c r="A15" s="4">
        <v>14</v>
      </c>
      <c r="B15" s="5" t="s">
        <v>130</v>
      </c>
      <c r="C15" s="58">
        <v>4.0999999999999996</v>
      </c>
      <c r="D15" s="61" t="s">
        <v>131</v>
      </c>
      <c r="E15" s="72" t="s">
        <v>99</v>
      </c>
      <c r="F15" s="62" t="s">
        <v>99</v>
      </c>
      <c r="G15" s="8" t="s">
        <v>88</v>
      </c>
      <c r="H15" s="8">
        <v>2012</v>
      </c>
      <c r="I15" s="62" t="s">
        <v>44</v>
      </c>
      <c r="J15" s="62" t="s">
        <v>82</v>
      </c>
      <c r="K15" s="62" t="s">
        <v>65</v>
      </c>
      <c r="L15" s="62" t="s">
        <v>83</v>
      </c>
      <c r="M15" s="62" t="s">
        <v>47</v>
      </c>
      <c r="N15" s="5">
        <v>0</v>
      </c>
      <c r="O15" s="8">
        <v>0</v>
      </c>
      <c r="P15" s="69">
        <v>46000</v>
      </c>
      <c r="Q15" s="69">
        <v>85000</v>
      </c>
      <c r="R15" s="69">
        <v>65500</v>
      </c>
      <c r="S15" s="62" t="s">
        <v>76</v>
      </c>
      <c r="T15" s="8">
        <f t="shared" si="0"/>
        <v>11</v>
      </c>
      <c r="U15" s="8">
        <v>1</v>
      </c>
      <c r="V15" s="8">
        <v>1</v>
      </c>
      <c r="W15" s="8">
        <v>1</v>
      </c>
      <c r="X15" s="8">
        <v>1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  <c r="AG15" s="8">
        <v>1</v>
      </c>
      <c r="AH15" s="8">
        <v>0</v>
      </c>
      <c r="AI15" s="8">
        <v>0</v>
      </c>
      <c r="AJ15" s="8">
        <v>0</v>
      </c>
      <c r="AK15" s="62" t="s">
        <v>132</v>
      </c>
      <c r="AL15" s="62" t="s">
        <v>50</v>
      </c>
      <c r="AM15" s="62" t="s">
        <v>77</v>
      </c>
      <c r="AN15" s="5"/>
      <c r="AO15" s="7"/>
    </row>
    <row r="16" spans="1:41" x14ac:dyDescent="0.25">
      <c r="A16" s="4">
        <v>15</v>
      </c>
      <c r="B16" s="5" t="s">
        <v>39</v>
      </c>
      <c r="C16" s="58">
        <v>3.7</v>
      </c>
      <c r="D16" s="61" t="s">
        <v>133</v>
      </c>
      <c r="E16" s="72" t="s">
        <v>134</v>
      </c>
      <c r="F16" s="62" t="s">
        <v>135</v>
      </c>
      <c r="G16" s="8" t="s">
        <v>56</v>
      </c>
      <c r="H16" s="8">
        <v>1781</v>
      </c>
      <c r="I16" s="62" t="s">
        <v>89</v>
      </c>
      <c r="J16" s="62" t="s">
        <v>136</v>
      </c>
      <c r="K16" s="62" t="s">
        <v>136</v>
      </c>
      <c r="L16" s="62" t="s">
        <v>128</v>
      </c>
      <c r="M16" s="62" t="s">
        <v>137</v>
      </c>
      <c r="N16" s="5">
        <v>0</v>
      </c>
      <c r="O16" s="8">
        <v>0</v>
      </c>
      <c r="P16" s="69">
        <v>83000</v>
      </c>
      <c r="Q16" s="69">
        <v>144000</v>
      </c>
      <c r="R16" s="69">
        <v>113500</v>
      </c>
      <c r="S16" s="62" t="s">
        <v>138</v>
      </c>
      <c r="T16" s="8">
        <f t="shared" si="0"/>
        <v>242</v>
      </c>
      <c r="U16" s="8">
        <v>1</v>
      </c>
      <c r="V16" s="8">
        <v>1</v>
      </c>
      <c r="W16" s="8">
        <v>0</v>
      </c>
      <c r="X16" s="8">
        <v>0</v>
      </c>
      <c r="Y16" s="8">
        <v>1</v>
      </c>
      <c r="Z16" s="8">
        <v>0</v>
      </c>
      <c r="AA16" s="8">
        <v>0</v>
      </c>
      <c r="AB16" s="8">
        <v>0</v>
      </c>
      <c r="AC16" s="8">
        <v>0</v>
      </c>
      <c r="AD16" s="8">
        <v>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62" t="s">
        <v>49</v>
      </c>
      <c r="AL16" s="62" t="s">
        <v>50</v>
      </c>
      <c r="AM16" s="62" t="s">
        <v>51</v>
      </c>
      <c r="AN16" s="5"/>
      <c r="AO16" s="7"/>
    </row>
    <row r="17" spans="1:41" x14ac:dyDescent="0.25">
      <c r="A17" s="4">
        <v>16</v>
      </c>
      <c r="B17" s="5" t="s">
        <v>139</v>
      </c>
      <c r="C17" s="58">
        <v>3.6</v>
      </c>
      <c r="D17" s="61" t="s">
        <v>140</v>
      </c>
      <c r="E17" s="72" t="s">
        <v>141</v>
      </c>
      <c r="F17" s="62" t="s">
        <v>141</v>
      </c>
      <c r="G17" s="8" t="s">
        <v>70</v>
      </c>
      <c r="H17" s="8">
        <v>1995</v>
      </c>
      <c r="I17" s="62" t="s">
        <v>142</v>
      </c>
      <c r="J17" s="62" t="s">
        <v>143</v>
      </c>
      <c r="K17" s="62" t="s">
        <v>144</v>
      </c>
      <c r="L17" s="62" t="s">
        <v>83</v>
      </c>
      <c r="M17" s="62" t="s">
        <v>47</v>
      </c>
      <c r="N17" s="5">
        <v>0</v>
      </c>
      <c r="O17" s="8">
        <v>0</v>
      </c>
      <c r="P17" s="69">
        <v>102000</v>
      </c>
      <c r="Q17" s="69">
        <v>190000</v>
      </c>
      <c r="R17" s="69">
        <v>146000</v>
      </c>
      <c r="S17" s="62" t="s">
        <v>145</v>
      </c>
      <c r="T17" s="8">
        <f t="shared" si="0"/>
        <v>28</v>
      </c>
      <c r="U17" s="8">
        <v>0</v>
      </c>
      <c r="V17" s="8">
        <v>0</v>
      </c>
      <c r="W17" s="8">
        <v>0</v>
      </c>
      <c r="X17" s="8">
        <v>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62" t="s">
        <v>146</v>
      </c>
      <c r="AL17" s="62" t="s">
        <v>50</v>
      </c>
      <c r="AM17" s="62" t="s">
        <v>77</v>
      </c>
      <c r="AN17" s="5"/>
      <c r="AO17" s="7"/>
    </row>
    <row r="18" spans="1:41" x14ac:dyDescent="0.25">
      <c r="A18" s="4">
        <v>17</v>
      </c>
      <c r="B18" s="5" t="s">
        <v>147</v>
      </c>
      <c r="C18" s="58">
        <v>3.9</v>
      </c>
      <c r="D18" s="61" t="s">
        <v>148</v>
      </c>
      <c r="E18" s="72" t="s">
        <v>134</v>
      </c>
      <c r="F18" s="62" t="s">
        <v>134</v>
      </c>
      <c r="G18" s="8" t="s">
        <v>81</v>
      </c>
      <c r="H18" s="8">
        <v>2011</v>
      </c>
      <c r="I18" s="62" t="s">
        <v>89</v>
      </c>
      <c r="J18" s="62" t="s">
        <v>136</v>
      </c>
      <c r="K18" s="62" t="s">
        <v>136</v>
      </c>
      <c r="L18" s="62" t="s">
        <v>149</v>
      </c>
      <c r="M18" s="62" t="s">
        <v>150</v>
      </c>
      <c r="N18" s="5">
        <v>0</v>
      </c>
      <c r="O18" s="8">
        <v>0</v>
      </c>
      <c r="P18" s="69">
        <v>67000</v>
      </c>
      <c r="Q18" s="69">
        <v>137000</v>
      </c>
      <c r="R18" s="69">
        <v>102000</v>
      </c>
      <c r="S18" s="62" t="s">
        <v>138</v>
      </c>
      <c r="T18" s="8">
        <f t="shared" si="0"/>
        <v>12</v>
      </c>
      <c r="U18" s="8">
        <v>0</v>
      </c>
      <c r="V18" s="8">
        <v>0</v>
      </c>
      <c r="W18" s="8">
        <v>0</v>
      </c>
      <c r="X18" s="8">
        <v>1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62" t="s">
        <v>107</v>
      </c>
      <c r="AL18" s="62" t="s">
        <v>50</v>
      </c>
      <c r="AM18" s="62" t="s">
        <v>108</v>
      </c>
      <c r="AN18" s="5"/>
      <c r="AO18" s="7"/>
    </row>
    <row r="19" spans="1:41" x14ac:dyDescent="0.25">
      <c r="A19" s="4">
        <v>18</v>
      </c>
      <c r="B19" s="5" t="s">
        <v>151</v>
      </c>
      <c r="C19" s="58">
        <v>4.3</v>
      </c>
      <c r="D19" s="61" t="s">
        <v>152</v>
      </c>
      <c r="E19" s="72" t="s">
        <v>153</v>
      </c>
      <c r="F19" s="62" t="s">
        <v>154</v>
      </c>
      <c r="G19" s="8" t="s">
        <v>88</v>
      </c>
      <c r="H19" s="8">
        <v>2011</v>
      </c>
      <c r="I19" s="62" t="s">
        <v>44</v>
      </c>
      <c r="J19" s="62" t="s">
        <v>155</v>
      </c>
      <c r="K19" s="62" t="s">
        <v>111</v>
      </c>
      <c r="L19" s="62" t="s">
        <v>83</v>
      </c>
      <c r="M19" s="62" t="s">
        <v>47</v>
      </c>
      <c r="N19" s="5">
        <v>0</v>
      </c>
      <c r="O19" s="8">
        <v>0</v>
      </c>
      <c r="P19" s="69">
        <v>118000</v>
      </c>
      <c r="Q19" s="69">
        <v>189000</v>
      </c>
      <c r="R19" s="69">
        <v>153500</v>
      </c>
      <c r="S19" s="62" t="s">
        <v>102</v>
      </c>
      <c r="T19" s="8">
        <f t="shared" si="0"/>
        <v>12</v>
      </c>
      <c r="U19" s="8">
        <v>1</v>
      </c>
      <c r="V19" s="8">
        <v>1</v>
      </c>
      <c r="W19" s="8">
        <v>1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62" t="s">
        <v>49</v>
      </c>
      <c r="AL19" s="62" t="s">
        <v>50</v>
      </c>
      <c r="AM19" s="62" t="s">
        <v>51</v>
      </c>
      <c r="AN19" s="5"/>
      <c r="AO19" s="7"/>
    </row>
    <row r="20" spans="1:41" x14ac:dyDescent="0.25">
      <c r="A20" s="4">
        <v>19</v>
      </c>
      <c r="B20" s="5" t="s">
        <v>156</v>
      </c>
      <c r="C20" s="58">
        <v>4.2</v>
      </c>
      <c r="D20" s="61" t="s">
        <v>157</v>
      </c>
      <c r="E20" s="72" t="s">
        <v>98</v>
      </c>
      <c r="F20" s="62" t="s">
        <v>114</v>
      </c>
      <c r="G20" s="8" t="s">
        <v>81</v>
      </c>
      <c r="H20" s="8">
        <v>2010</v>
      </c>
      <c r="I20" s="62" t="s">
        <v>44</v>
      </c>
      <c r="J20" s="62" t="s">
        <v>155</v>
      </c>
      <c r="K20" s="62" t="s">
        <v>111</v>
      </c>
      <c r="L20" s="62" t="s">
        <v>83</v>
      </c>
      <c r="M20" s="62" t="s">
        <v>47</v>
      </c>
      <c r="N20" s="5">
        <v>0</v>
      </c>
      <c r="O20" s="8">
        <v>0</v>
      </c>
      <c r="P20" s="69">
        <v>110000</v>
      </c>
      <c r="Q20" s="69">
        <v>175000</v>
      </c>
      <c r="R20" s="69">
        <v>142500</v>
      </c>
      <c r="S20" s="62" t="s">
        <v>102</v>
      </c>
      <c r="T20" s="8">
        <f t="shared" si="0"/>
        <v>13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62" t="s">
        <v>49</v>
      </c>
      <c r="AL20" s="62" t="s">
        <v>50</v>
      </c>
      <c r="AM20" s="62" t="s">
        <v>77</v>
      </c>
      <c r="AN20" s="5"/>
      <c r="AO20" s="7"/>
    </row>
    <row r="21" spans="1:41" ht="15.75" customHeight="1" x14ac:dyDescent="0.25">
      <c r="A21" s="4">
        <v>20</v>
      </c>
      <c r="B21" s="5" t="s">
        <v>39</v>
      </c>
      <c r="C21" s="58">
        <v>4</v>
      </c>
      <c r="D21" s="61" t="s">
        <v>158</v>
      </c>
      <c r="E21" s="72" t="s">
        <v>159</v>
      </c>
      <c r="F21" s="62" t="s">
        <v>159</v>
      </c>
      <c r="G21" s="8" t="s">
        <v>43</v>
      </c>
      <c r="H21" s="8">
        <v>1915</v>
      </c>
      <c r="I21" s="62" t="s">
        <v>160</v>
      </c>
      <c r="J21" s="62" t="s">
        <v>161</v>
      </c>
      <c r="K21" s="62" t="s">
        <v>162</v>
      </c>
      <c r="L21" s="62" t="s">
        <v>74</v>
      </c>
      <c r="M21" s="62" t="s">
        <v>47</v>
      </c>
      <c r="N21" s="5">
        <v>0</v>
      </c>
      <c r="O21" s="8">
        <v>0</v>
      </c>
      <c r="P21" s="69">
        <v>64000</v>
      </c>
      <c r="Q21" s="69">
        <v>111000</v>
      </c>
      <c r="R21" s="69">
        <v>87500</v>
      </c>
      <c r="S21" s="62" t="s">
        <v>163</v>
      </c>
      <c r="T21" s="8">
        <f t="shared" si="0"/>
        <v>108</v>
      </c>
      <c r="U21" s="8">
        <v>1</v>
      </c>
      <c r="V21" s="8">
        <v>0</v>
      </c>
      <c r="W21" s="8">
        <v>0</v>
      </c>
      <c r="X21" s="8">
        <v>1</v>
      </c>
      <c r="Y21" s="8">
        <v>1</v>
      </c>
      <c r="Z21" s="8">
        <v>0</v>
      </c>
      <c r="AA21" s="8">
        <v>1</v>
      </c>
      <c r="AB21" s="8">
        <v>1</v>
      </c>
      <c r="AC21" s="8">
        <v>1</v>
      </c>
      <c r="AD21" s="8">
        <v>1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62" t="s">
        <v>49</v>
      </c>
      <c r="AL21" s="62" t="s">
        <v>50</v>
      </c>
      <c r="AM21" s="62" t="s">
        <v>51</v>
      </c>
      <c r="AN21" s="5"/>
      <c r="AO21" s="7"/>
    </row>
    <row r="22" spans="1:41" ht="15.75" customHeight="1" x14ac:dyDescent="0.25">
      <c r="A22" s="4">
        <v>21</v>
      </c>
      <c r="B22" s="5" t="s">
        <v>39</v>
      </c>
      <c r="C22" s="58">
        <v>3.2</v>
      </c>
      <c r="D22" s="61" t="s">
        <v>164</v>
      </c>
      <c r="E22" s="72" t="s">
        <v>99</v>
      </c>
      <c r="F22" s="62" t="s">
        <v>99</v>
      </c>
      <c r="G22" s="8" t="s">
        <v>88</v>
      </c>
      <c r="H22" s="8">
        <v>2012</v>
      </c>
      <c r="I22" s="62" t="s">
        <v>44</v>
      </c>
      <c r="J22" s="62" t="s">
        <v>110</v>
      </c>
      <c r="K22" s="62" t="s">
        <v>111</v>
      </c>
      <c r="L22" s="62" t="s">
        <v>83</v>
      </c>
      <c r="M22" s="62" t="s">
        <v>165</v>
      </c>
      <c r="N22" s="5">
        <v>0</v>
      </c>
      <c r="O22" s="8">
        <v>0</v>
      </c>
      <c r="P22" s="69">
        <v>81000</v>
      </c>
      <c r="Q22" s="69">
        <v>130000</v>
      </c>
      <c r="R22" s="69">
        <v>105500</v>
      </c>
      <c r="S22" s="62" t="s">
        <v>76</v>
      </c>
      <c r="T22" s="8">
        <f t="shared" si="0"/>
        <v>11</v>
      </c>
      <c r="U22" s="8">
        <v>1</v>
      </c>
      <c r="V22" s="8">
        <v>1</v>
      </c>
      <c r="W22" s="8">
        <v>0</v>
      </c>
      <c r="X22" s="8">
        <v>0</v>
      </c>
      <c r="Y22" s="8">
        <v>1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62" t="s">
        <v>49</v>
      </c>
      <c r="AL22" s="62" t="s">
        <v>50</v>
      </c>
      <c r="AM22" s="62" t="s">
        <v>51</v>
      </c>
      <c r="AN22" s="5"/>
      <c r="AO22" s="7"/>
    </row>
    <row r="23" spans="1:41" ht="15.75" customHeight="1" x14ac:dyDescent="0.25">
      <c r="A23" s="4">
        <v>22</v>
      </c>
      <c r="B23" s="5" t="s">
        <v>166</v>
      </c>
      <c r="C23" s="58">
        <v>3.9</v>
      </c>
      <c r="D23" s="61" t="s">
        <v>167</v>
      </c>
      <c r="E23" s="72" t="s">
        <v>87</v>
      </c>
      <c r="F23" s="62" t="s">
        <v>154</v>
      </c>
      <c r="G23" s="8" t="s">
        <v>88</v>
      </c>
      <c r="H23" s="8">
        <v>2013</v>
      </c>
      <c r="I23" s="62" t="s">
        <v>44</v>
      </c>
      <c r="J23" s="62" t="s">
        <v>168</v>
      </c>
      <c r="K23" s="62" t="s">
        <v>162</v>
      </c>
      <c r="L23" s="62" t="s">
        <v>83</v>
      </c>
      <c r="M23" s="62" t="s">
        <v>47</v>
      </c>
      <c r="N23" s="5">
        <v>0</v>
      </c>
      <c r="O23" s="8">
        <v>0</v>
      </c>
      <c r="P23" s="69">
        <v>73000</v>
      </c>
      <c r="Q23" s="69">
        <v>119000</v>
      </c>
      <c r="R23" s="69">
        <v>96000</v>
      </c>
      <c r="S23" s="62" t="s">
        <v>93</v>
      </c>
      <c r="T23" s="8">
        <f t="shared" si="0"/>
        <v>10</v>
      </c>
      <c r="U23" s="8">
        <v>0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62" t="s">
        <v>49</v>
      </c>
      <c r="AL23" s="62" t="s">
        <v>169</v>
      </c>
      <c r="AM23" s="62" t="s">
        <v>108</v>
      </c>
      <c r="AN23" s="5"/>
      <c r="AO23" s="7"/>
    </row>
    <row r="24" spans="1:41" ht="15.75" customHeight="1" x14ac:dyDescent="0.25">
      <c r="A24" s="4">
        <v>23</v>
      </c>
      <c r="B24" s="5" t="s">
        <v>170</v>
      </c>
      <c r="C24" s="58">
        <v>3.8</v>
      </c>
      <c r="D24" s="61" t="s">
        <v>171</v>
      </c>
      <c r="E24" s="72" t="s">
        <v>172</v>
      </c>
      <c r="F24" s="62" t="s">
        <v>173</v>
      </c>
      <c r="G24" s="8" t="s">
        <v>43</v>
      </c>
      <c r="H24" s="8">
        <v>1995</v>
      </c>
      <c r="I24" s="62" t="s">
        <v>44</v>
      </c>
      <c r="J24" s="62" t="s">
        <v>174</v>
      </c>
      <c r="K24" s="62" t="s">
        <v>175</v>
      </c>
      <c r="L24" s="62" t="s">
        <v>83</v>
      </c>
      <c r="M24" s="62" t="s">
        <v>47</v>
      </c>
      <c r="N24" s="5">
        <v>0</v>
      </c>
      <c r="O24" s="8">
        <v>0</v>
      </c>
      <c r="P24" s="69">
        <v>86000</v>
      </c>
      <c r="Q24" s="69">
        <v>139000</v>
      </c>
      <c r="R24" s="69">
        <v>112500</v>
      </c>
      <c r="S24" s="62" t="s">
        <v>176</v>
      </c>
      <c r="T24" s="8">
        <f t="shared" si="0"/>
        <v>28</v>
      </c>
      <c r="U24" s="8">
        <v>1</v>
      </c>
      <c r="V24" s="8">
        <v>0</v>
      </c>
      <c r="W24" s="8">
        <v>1</v>
      </c>
      <c r="X24" s="8">
        <v>1</v>
      </c>
      <c r="Y24" s="8">
        <v>1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1</v>
      </c>
      <c r="AJ24" s="8">
        <v>0</v>
      </c>
      <c r="AK24" s="62" t="s">
        <v>49</v>
      </c>
      <c r="AL24" s="62" t="s">
        <v>50</v>
      </c>
      <c r="AM24" s="62" t="s">
        <v>51</v>
      </c>
      <c r="AN24" s="5"/>
      <c r="AO24" s="7"/>
    </row>
    <row r="25" spans="1:41" ht="15.75" customHeight="1" x14ac:dyDescent="0.25">
      <c r="A25" s="4">
        <v>24</v>
      </c>
      <c r="B25" s="5" t="s">
        <v>39</v>
      </c>
      <c r="C25" s="58">
        <v>4.3</v>
      </c>
      <c r="D25" s="61" t="s">
        <v>177</v>
      </c>
      <c r="E25" s="72" t="s">
        <v>178</v>
      </c>
      <c r="F25" s="62" t="s">
        <v>179</v>
      </c>
      <c r="G25" s="8" t="s">
        <v>81</v>
      </c>
      <c r="H25" s="8">
        <v>1935</v>
      </c>
      <c r="I25" s="62" t="s">
        <v>160</v>
      </c>
      <c r="J25" s="62" t="s">
        <v>174</v>
      </c>
      <c r="K25" s="62" t="s">
        <v>175</v>
      </c>
      <c r="L25" s="62" t="s">
        <v>180</v>
      </c>
      <c r="M25" s="62" t="s">
        <v>47</v>
      </c>
      <c r="N25" s="5">
        <v>0</v>
      </c>
      <c r="O25" s="8">
        <v>0</v>
      </c>
      <c r="P25" s="69">
        <v>63000</v>
      </c>
      <c r="Q25" s="69">
        <v>105000</v>
      </c>
      <c r="R25" s="69">
        <v>84000</v>
      </c>
      <c r="S25" s="62" t="s">
        <v>181</v>
      </c>
      <c r="T25" s="8">
        <f t="shared" si="0"/>
        <v>88</v>
      </c>
      <c r="U25" s="8">
        <v>1</v>
      </c>
      <c r="V25" s="8">
        <v>0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1</v>
      </c>
      <c r="AG25" s="8">
        <v>0</v>
      </c>
      <c r="AH25" s="8">
        <v>0</v>
      </c>
      <c r="AI25" s="8">
        <v>0</v>
      </c>
      <c r="AJ25" s="8">
        <v>0</v>
      </c>
      <c r="AK25" s="62" t="s">
        <v>49</v>
      </c>
      <c r="AL25" s="62" t="s">
        <v>50</v>
      </c>
      <c r="AM25" s="62" t="s">
        <v>51</v>
      </c>
      <c r="AN25" s="5"/>
      <c r="AO25" s="7"/>
    </row>
    <row r="26" spans="1:41" ht="15.75" customHeight="1" x14ac:dyDescent="0.25">
      <c r="A26" s="4">
        <v>25</v>
      </c>
      <c r="B26" s="5" t="s">
        <v>39</v>
      </c>
      <c r="C26" s="58">
        <v>4</v>
      </c>
      <c r="D26" s="61" t="s">
        <v>182</v>
      </c>
      <c r="E26" s="72" t="s">
        <v>119</v>
      </c>
      <c r="F26" s="62" t="s">
        <v>183</v>
      </c>
      <c r="G26" s="8" t="s">
        <v>43</v>
      </c>
      <c r="H26" s="8">
        <v>2012</v>
      </c>
      <c r="I26" s="62" t="s">
        <v>44</v>
      </c>
      <c r="J26" s="62" t="s">
        <v>155</v>
      </c>
      <c r="K26" s="62" t="s">
        <v>111</v>
      </c>
      <c r="L26" s="62" t="s">
        <v>66</v>
      </c>
      <c r="M26" s="62" t="s">
        <v>184</v>
      </c>
      <c r="N26" s="5">
        <v>0</v>
      </c>
      <c r="O26" s="8">
        <v>0</v>
      </c>
      <c r="P26" s="69">
        <v>109000</v>
      </c>
      <c r="Q26" s="69">
        <v>177000</v>
      </c>
      <c r="R26" s="69">
        <v>143000</v>
      </c>
      <c r="S26" s="62" t="s">
        <v>122</v>
      </c>
      <c r="T26" s="8">
        <f t="shared" si="0"/>
        <v>11</v>
      </c>
      <c r="U26" s="8">
        <v>1</v>
      </c>
      <c r="V26" s="8">
        <v>0</v>
      </c>
      <c r="W26" s="8">
        <v>1</v>
      </c>
      <c r="X26" s="8">
        <v>0</v>
      </c>
      <c r="Y26" s="8">
        <v>0</v>
      </c>
      <c r="Z26" s="8">
        <v>0</v>
      </c>
      <c r="AA26" s="8">
        <v>1</v>
      </c>
      <c r="AB26" s="8">
        <v>0</v>
      </c>
      <c r="AC26" s="8">
        <v>0</v>
      </c>
      <c r="AD26" s="8">
        <v>1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62" t="s">
        <v>49</v>
      </c>
      <c r="AL26" s="62" t="s">
        <v>50</v>
      </c>
      <c r="AM26" s="62" t="s">
        <v>77</v>
      </c>
      <c r="AN26" s="5"/>
      <c r="AO26" s="7"/>
    </row>
    <row r="27" spans="1:41" ht="15.75" customHeight="1" x14ac:dyDescent="0.25">
      <c r="A27" s="4">
        <v>26</v>
      </c>
      <c r="B27" s="5" t="s">
        <v>185</v>
      </c>
      <c r="C27" s="58">
        <v>4</v>
      </c>
      <c r="D27" s="61" t="s">
        <v>186</v>
      </c>
      <c r="E27" s="72" t="s">
        <v>134</v>
      </c>
      <c r="F27" s="62" t="s">
        <v>80</v>
      </c>
      <c r="G27" s="8" t="s">
        <v>56</v>
      </c>
      <c r="H27" s="8">
        <v>1849</v>
      </c>
      <c r="I27" s="62" t="s">
        <v>89</v>
      </c>
      <c r="J27" s="62" t="s">
        <v>136</v>
      </c>
      <c r="K27" s="62" t="s">
        <v>136</v>
      </c>
      <c r="L27" s="62" t="s">
        <v>128</v>
      </c>
      <c r="M27" s="62" t="s">
        <v>47</v>
      </c>
      <c r="N27" s="5">
        <v>0</v>
      </c>
      <c r="O27" s="8">
        <v>0</v>
      </c>
      <c r="P27" s="69">
        <v>63000</v>
      </c>
      <c r="Q27" s="69">
        <v>110000</v>
      </c>
      <c r="R27" s="69">
        <v>86500</v>
      </c>
      <c r="S27" s="62" t="s">
        <v>138</v>
      </c>
      <c r="T27" s="8">
        <f t="shared" si="0"/>
        <v>174</v>
      </c>
      <c r="U27" s="8">
        <v>1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62" t="s">
        <v>49</v>
      </c>
      <c r="AL27" s="62" t="s">
        <v>50</v>
      </c>
      <c r="AM27" s="62" t="s">
        <v>77</v>
      </c>
      <c r="AN27" s="5"/>
      <c r="AO27" s="7"/>
    </row>
    <row r="28" spans="1:41" ht="15.75" customHeight="1" x14ac:dyDescent="0.25">
      <c r="A28" s="4">
        <v>27</v>
      </c>
      <c r="B28" s="5" t="s">
        <v>39</v>
      </c>
      <c r="C28" s="58">
        <v>3.5</v>
      </c>
      <c r="D28" s="61" t="s">
        <v>187</v>
      </c>
      <c r="E28" s="72" t="s">
        <v>188</v>
      </c>
      <c r="F28" s="62" t="s">
        <v>189</v>
      </c>
      <c r="G28" s="8" t="s">
        <v>70</v>
      </c>
      <c r="H28" s="8">
        <v>1952</v>
      </c>
      <c r="I28" s="62" t="s">
        <v>44</v>
      </c>
      <c r="J28" s="62" t="s">
        <v>95</v>
      </c>
      <c r="K28" s="62" t="s">
        <v>96</v>
      </c>
      <c r="L28" s="62" t="s">
        <v>66</v>
      </c>
      <c r="M28" s="62" t="s">
        <v>47</v>
      </c>
      <c r="N28" s="5">
        <v>0</v>
      </c>
      <c r="O28" s="8">
        <v>0</v>
      </c>
      <c r="P28" s="69">
        <v>75000</v>
      </c>
      <c r="Q28" s="69">
        <v>124000</v>
      </c>
      <c r="R28" s="69">
        <v>99500</v>
      </c>
      <c r="S28" s="62" t="s">
        <v>190</v>
      </c>
      <c r="T28" s="8">
        <f t="shared" si="0"/>
        <v>71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0</v>
      </c>
      <c r="AA28" s="8">
        <v>1</v>
      </c>
      <c r="AB28" s="8">
        <v>0</v>
      </c>
      <c r="AC28" s="8">
        <v>1</v>
      </c>
      <c r="AD28" s="8">
        <v>1</v>
      </c>
      <c r="AE28" s="8">
        <v>0</v>
      </c>
      <c r="AF28" s="8">
        <v>1</v>
      </c>
      <c r="AG28" s="8">
        <v>0</v>
      </c>
      <c r="AH28" s="8">
        <v>0</v>
      </c>
      <c r="AI28" s="8">
        <v>0</v>
      </c>
      <c r="AJ28" s="8">
        <v>0</v>
      </c>
      <c r="AK28" s="62" t="s">
        <v>49</v>
      </c>
      <c r="AL28" s="62" t="s">
        <v>50</v>
      </c>
      <c r="AM28" s="62" t="s">
        <v>77</v>
      </c>
      <c r="AN28" s="5"/>
      <c r="AO28" s="7"/>
    </row>
    <row r="29" spans="1:41" ht="15.75" customHeight="1" x14ac:dyDescent="0.25">
      <c r="A29" s="4">
        <v>28</v>
      </c>
      <c r="B29" s="5" t="s">
        <v>191</v>
      </c>
      <c r="C29" s="58">
        <v>3.7</v>
      </c>
      <c r="D29" s="61" t="s">
        <v>192</v>
      </c>
      <c r="E29" s="72" t="s">
        <v>193</v>
      </c>
      <c r="F29" s="62" t="s">
        <v>193</v>
      </c>
      <c r="G29" s="8" t="s">
        <v>120</v>
      </c>
      <c r="H29" s="8">
        <v>1852</v>
      </c>
      <c r="I29" s="62" t="s">
        <v>89</v>
      </c>
      <c r="J29" s="62" t="s">
        <v>161</v>
      </c>
      <c r="K29" s="62" t="s">
        <v>162</v>
      </c>
      <c r="L29" s="62" t="s">
        <v>194</v>
      </c>
      <c r="M29" s="62" t="s">
        <v>47</v>
      </c>
      <c r="N29" s="5">
        <v>0</v>
      </c>
      <c r="O29" s="8">
        <v>0</v>
      </c>
      <c r="P29" s="69">
        <v>34000</v>
      </c>
      <c r="Q29" s="69">
        <v>61000</v>
      </c>
      <c r="R29" s="69">
        <v>47500</v>
      </c>
      <c r="S29" s="62" t="s">
        <v>138</v>
      </c>
      <c r="T29" s="8">
        <f t="shared" si="0"/>
        <v>171</v>
      </c>
      <c r="U29" s="8">
        <v>0</v>
      </c>
      <c r="V29" s="8">
        <v>0</v>
      </c>
      <c r="W29" s="8">
        <v>0</v>
      </c>
      <c r="X29" s="8">
        <v>1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62" t="s">
        <v>132</v>
      </c>
      <c r="AL29" s="62" t="s">
        <v>50</v>
      </c>
      <c r="AM29" s="62" t="s">
        <v>77</v>
      </c>
      <c r="AN29" s="5"/>
      <c r="AO29" s="7"/>
    </row>
    <row r="30" spans="1:41" ht="15.75" customHeight="1" x14ac:dyDescent="0.25">
      <c r="A30" s="4">
        <v>29</v>
      </c>
      <c r="B30" s="5" t="s">
        <v>195</v>
      </c>
      <c r="C30" s="58">
        <v>4</v>
      </c>
      <c r="D30" s="61" t="s">
        <v>186</v>
      </c>
      <c r="E30" s="72" t="s">
        <v>196</v>
      </c>
      <c r="F30" s="62" t="s">
        <v>80</v>
      </c>
      <c r="G30" s="8" t="s">
        <v>56</v>
      </c>
      <c r="H30" s="8">
        <v>1849</v>
      </c>
      <c r="I30" s="62" t="s">
        <v>89</v>
      </c>
      <c r="J30" s="62" t="s">
        <v>136</v>
      </c>
      <c r="K30" s="62" t="s">
        <v>136</v>
      </c>
      <c r="L30" s="62" t="s">
        <v>128</v>
      </c>
      <c r="M30" s="62" t="s">
        <v>47</v>
      </c>
      <c r="N30" s="5">
        <v>0</v>
      </c>
      <c r="O30" s="8">
        <v>0</v>
      </c>
      <c r="P30" s="69">
        <v>63000</v>
      </c>
      <c r="Q30" s="69">
        <v>105000</v>
      </c>
      <c r="R30" s="69">
        <v>84000</v>
      </c>
      <c r="S30" s="62" t="s">
        <v>197</v>
      </c>
      <c r="T30" s="8">
        <f t="shared" si="0"/>
        <v>174</v>
      </c>
      <c r="U30" s="8">
        <v>0</v>
      </c>
      <c r="V30" s="8">
        <v>0</v>
      </c>
      <c r="W30" s="8">
        <v>1</v>
      </c>
      <c r="X30" s="8">
        <v>1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62" t="s">
        <v>49</v>
      </c>
      <c r="AL30" s="62" t="s">
        <v>50</v>
      </c>
      <c r="AM30" s="62" t="s">
        <v>51</v>
      </c>
      <c r="AN30" s="5"/>
      <c r="AO30" s="7"/>
    </row>
    <row r="31" spans="1:41" ht="15.75" customHeight="1" x14ac:dyDescent="0.25">
      <c r="A31" s="4">
        <v>30</v>
      </c>
      <c r="B31" s="5" t="s">
        <v>39</v>
      </c>
      <c r="C31" s="58">
        <v>4.8</v>
      </c>
      <c r="D31" s="61" t="s">
        <v>62</v>
      </c>
      <c r="E31" s="72" t="s">
        <v>63</v>
      </c>
      <c r="F31" s="62" t="s">
        <v>63</v>
      </c>
      <c r="G31" s="8" t="s">
        <v>43</v>
      </c>
      <c r="H31" s="8">
        <v>2010</v>
      </c>
      <c r="I31" s="62" t="s">
        <v>44</v>
      </c>
      <c r="J31" s="62" t="s">
        <v>64</v>
      </c>
      <c r="K31" s="62" t="s">
        <v>65</v>
      </c>
      <c r="L31" s="62" t="s">
        <v>66</v>
      </c>
      <c r="M31" s="62" t="s">
        <v>47</v>
      </c>
      <c r="N31" s="5">
        <v>0</v>
      </c>
      <c r="O31" s="8">
        <v>0</v>
      </c>
      <c r="P31" s="69">
        <v>80000</v>
      </c>
      <c r="Q31" s="69">
        <v>90000</v>
      </c>
      <c r="R31" s="69">
        <v>85000</v>
      </c>
      <c r="S31" s="62" t="s">
        <v>67</v>
      </c>
      <c r="T31" s="8">
        <f t="shared" si="0"/>
        <v>13</v>
      </c>
      <c r="U31" s="8">
        <v>1</v>
      </c>
      <c r="V31" s="8">
        <v>1</v>
      </c>
      <c r="W31" s="8">
        <v>0</v>
      </c>
      <c r="X31" s="8">
        <v>1</v>
      </c>
      <c r="Y31" s="8">
        <v>1</v>
      </c>
      <c r="Z31" s="8">
        <v>1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62" t="s">
        <v>49</v>
      </c>
      <c r="AL31" s="62" t="s">
        <v>50</v>
      </c>
      <c r="AM31" s="62" t="s">
        <v>51</v>
      </c>
      <c r="AN31" s="5"/>
      <c r="AO31" s="7"/>
    </row>
    <row r="32" spans="1:41" ht="15.75" customHeight="1" x14ac:dyDescent="0.25">
      <c r="A32" s="4">
        <v>31</v>
      </c>
      <c r="B32" s="5" t="s">
        <v>39</v>
      </c>
      <c r="C32" s="58">
        <v>3.8</v>
      </c>
      <c r="D32" s="61" t="s">
        <v>68</v>
      </c>
      <c r="E32" s="72" t="s">
        <v>69</v>
      </c>
      <c r="F32" s="62" t="s">
        <v>69</v>
      </c>
      <c r="G32" s="8" t="s">
        <v>70</v>
      </c>
      <c r="H32" s="8">
        <v>1965</v>
      </c>
      <c r="I32" s="62" t="s">
        <v>71</v>
      </c>
      <c r="J32" s="62" t="s">
        <v>72</v>
      </c>
      <c r="K32" s="62" t="s">
        <v>73</v>
      </c>
      <c r="L32" s="62" t="s">
        <v>74</v>
      </c>
      <c r="M32" s="62" t="s">
        <v>75</v>
      </c>
      <c r="N32" s="5">
        <v>0</v>
      </c>
      <c r="O32" s="8">
        <v>0</v>
      </c>
      <c r="P32" s="69">
        <v>56000</v>
      </c>
      <c r="Q32" s="69">
        <v>97000</v>
      </c>
      <c r="R32" s="69">
        <v>76500</v>
      </c>
      <c r="S32" s="62" t="s">
        <v>76</v>
      </c>
      <c r="T32" s="8">
        <f t="shared" si="0"/>
        <v>58</v>
      </c>
      <c r="U32" s="8">
        <v>1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62" t="s">
        <v>49</v>
      </c>
      <c r="AL32" s="62" t="s">
        <v>50</v>
      </c>
      <c r="AM32" s="62" t="s">
        <v>77</v>
      </c>
      <c r="AN32" s="5"/>
      <c r="AO32" s="7"/>
    </row>
    <row r="33" spans="1:41" ht="15.75" customHeight="1" x14ac:dyDescent="0.25">
      <c r="A33" s="4">
        <v>32</v>
      </c>
      <c r="B33" s="5" t="s">
        <v>39</v>
      </c>
      <c r="C33" s="58">
        <v>3.6</v>
      </c>
      <c r="D33" s="61" t="s">
        <v>198</v>
      </c>
      <c r="E33" s="72" t="s">
        <v>199</v>
      </c>
      <c r="F33" s="62" t="s">
        <v>199</v>
      </c>
      <c r="G33" s="8" t="s">
        <v>70</v>
      </c>
      <c r="H33" s="8">
        <v>1997</v>
      </c>
      <c r="I33" s="62" t="s">
        <v>44</v>
      </c>
      <c r="J33" s="62" t="s">
        <v>90</v>
      </c>
      <c r="K33" s="62" t="s">
        <v>90</v>
      </c>
      <c r="L33" s="62" t="s">
        <v>74</v>
      </c>
      <c r="M33" s="62" t="s">
        <v>47</v>
      </c>
      <c r="N33" s="5">
        <v>0</v>
      </c>
      <c r="O33" s="8">
        <v>0</v>
      </c>
      <c r="P33" s="69">
        <v>72000</v>
      </c>
      <c r="Q33" s="69">
        <v>120000</v>
      </c>
      <c r="R33" s="69">
        <v>96000</v>
      </c>
      <c r="S33" s="62" t="s">
        <v>200</v>
      </c>
      <c r="T33" s="8">
        <f t="shared" si="0"/>
        <v>26</v>
      </c>
      <c r="U33" s="8">
        <v>1</v>
      </c>
      <c r="V33" s="8">
        <v>0</v>
      </c>
      <c r="W33" s="8">
        <v>0</v>
      </c>
      <c r="X33" s="8">
        <v>0</v>
      </c>
      <c r="Y33" s="8">
        <v>1</v>
      </c>
      <c r="Z33" s="8">
        <v>1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62" t="s">
        <v>49</v>
      </c>
      <c r="AL33" s="62" t="s">
        <v>50</v>
      </c>
      <c r="AM33" s="62" t="s">
        <v>51</v>
      </c>
      <c r="AN33" s="5"/>
      <c r="AO33" s="7"/>
    </row>
    <row r="34" spans="1:41" ht="15.75" customHeight="1" x14ac:dyDescent="0.25">
      <c r="A34" s="4">
        <v>33</v>
      </c>
      <c r="B34" s="5" t="s">
        <v>201</v>
      </c>
      <c r="C34" s="58">
        <v>3.8</v>
      </c>
      <c r="D34" s="61" t="s">
        <v>202</v>
      </c>
      <c r="E34" s="72" t="s">
        <v>134</v>
      </c>
      <c r="F34" s="62" t="s">
        <v>203</v>
      </c>
      <c r="G34" s="8" t="s">
        <v>56</v>
      </c>
      <c r="H34" s="8">
        <v>1996</v>
      </c>
      <c r="I34" s="62" t="s">
        <v>89</v>
      </c>
      <c r="J34" s="62" t="s">
        <v>136</v>
      </c>
      <c r="K34" s="62" t="s">
        <v>136</v>
      </c>
      <c r="L34" s="62" t="s">
        <v>128</v>
      </c>
      <c r="M34" s="62" t="s">
        <v>47</v>
      </c>
      <c r="N34" s="5">
        <v>0</v>
      </c>
      <c r="O34" s="8">
        <v>0</v>
      </c>
      <c r="P34" s="69">
        <v>86000</v>
      </c>
      <c r="Q34" s="69">
        <v>143000</v>
      </c>
      <c r="R34" s="69">
        <v>114500</v>
      </c>
      <c r="S34" s="62" t="s">
        <v>138</v>
      </c>
      <c r="T34" s="8">
        <f t="shared" si="0"/>
        <v>27</v>
      </c>
      <c r="U34" s="8">
        <v>1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1</v>
      </c>
      <c r="AC34" s="8">
        <v>1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62" t="s">
        <v>49</v>
      </c>
      <c r="AL34" s="62" t="s">
        <v>50</v>
      </c>
      <c r="AM34" s="62" t="s">
        <v>77</v>
      </c>
      <c r="AN34" s="5"/>
      <c r="AO34" s="7"/>
    </row>
    <row r="35" spans="1:41" ht="15.75" customHeight="1" x14ac:dyDescent="0.25">
      <c r="A35" s="4">
        <v>34</v>
      </c>
      <c r="B35" s="5" t="s">
        <v>39</v>
      </c>
      <c r="C35" s="58">
        <v>3.8</v>
      </c>
      <c r="D35" s="61" t="s">
        <v>204</v>
      </c>
      <c r="E35" s="72" t="s">
        <v>205</v>
      </c>
      <c r="F35" s="62" t="s">
        <v>205</v>
      </c>
      <c r="G35" s="8" t="s">
        <v>120</v>
      </c>
      <c r="H35" s="8">
        <v>1996</v>
      </c>
      <c r="I35" s="62" t="s">
        <v>89</v>
      </c>
      <c r="J35" s="62" t="s">
        <v>206</v>
      </c>
      <c r="K35" s="62" t="s">
        <v>207</v>
      </c>
      <c r="L35" s="62" t="s">
        <v>60</v>
      </c>
      <c r="M35" s="62" t="s">
        <v>47</v>
      </c>
      <c r="N35" s="5">
        <v>0</v>
      </c>
      <c r="O35" s="8">
        <v>0</v>
      </c>
      <c r="P35" s="69">
        <v>93000</v>
      </c>
      <c r="Q35" s="69">
        <v>149000</v>
      </c>
      <c r="R35" s="69">
        <v>121000</v>
      </c>
      <c r="S35" s="62" t="s">
        <v>102</v>
      </c>
      <c r="T35" s="8">
        <f t="shared" si="0"/>
        <v>27</v>
      </c>
      <c r="U35" s="8">
        <v>1</v>
      </c>
      <c r="V35" s="8">
        <v>1</v>
      </c>
      <c r="W35" s="8">
        <v>0</v>
      </c>
      <c r="X35" s="8">
        <v>1</v>
      </c>
      <c r="Y35" s="8">
        <v>1</v>
      </c>
      <c r="Z35" s="8">
        <v>0</v>
      </c>
      <c r="AA35" s="8">
        <v>1</v>
      </c>
      <c r="AB35" s="8">
        <v>0</v>
      </c>
      <c r="AC35" s="8">
        <v>1</v>
      </c>
      <c r="AD35" s="8">
        <v>1</v>
      </c>
      <c r="AE35" s="8">
        <v>0</v>
      </c>
      <c r="AF35" s="8">
        <v>0</v>
      </c>
      <c r="AG35" s="8">
        <v>0</v>
      </c>
      <c r="AH35" s="8">
        <v>0</v>
      </c>
      <c r="AI35" s="8">
        <v>1</v>
      </c>
      <c r="AJ35" s="8">
        <v>0</v>
      </c>
      <c r="AK35" s="62" t="s">
        <v>49</v>
      </c>
      <c r="AL35" s="62" t="s">
        <v>50</v>
      </c>
      <c r="AM35" s="62" t="s">
        <v>51</v>
      </c>
      <c r="AN35" s="5"/>
      <c r="AO35" s="7"/>
    </row>
    <row r="36" spans="1:41" ht="15.75" customHeight="1" x14ac:dyDescent="0.25">
      <c r="A36" s="4">
        <v>35</v>
      </c>
      <c r="B36" s="5" t="s">
        <v>39</v>
      </c>
      <c r="C36" s="58">
        <v>4.7</v>
      </c>
      <c r="D36" s="61" t="s">
        <v>208</v>
      </c>
      <c r="E36" s="72" t="s">
        <v>209</v>
      </c>
      <c r="F36" s="62" t="s">
        <v>209</v>
      </c>
      <c r="G36" s="8" t="s">
        <v>88</v>
      </c>
      <c r="H36" s="8">
        <v>1974</v>
      </c>
      <c r="I36" s="62" t="s">
        <v>44</v>
      </c>
      <c r="J36" s="62" t="s">
        <v>136</v>
      </c>
      <c r="K36" s="62" t="s">
        <v>136</v>
      </c>
      <c r="L36" s="62" t="s">
        <v>83</v>
      </c>
      <c r="M36" s="62" t="s">
        <v>210</v>
      </c>
      <c r="N36" s="5">
        <v>0</v>
      </c>
      <c r="O36" s="8">
        <v>0</v>
      </c>
      <c r="P36" s="69">
        <v>85000</v>
      </c>
      <c r="Q36" s="69">
        <v>140000</v>
      </c>
      <c r="R36" s="69">
        <v>112500</v>
      </c>
      <c r="S36" s="62" t="s">
        <v>138</v>
      </c>
      <c r="T36" s="8">
        <f t="shared" si="0"/>
        <v>49</v>
      </c>
      <c r="U36" s="8">
        <v>1</v>
      </c>
      <c r="V36" s="8">
        <v>0</v>
      </c>
      <c r="W36" s="8">
        <v>0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62" t="s">
        <v>49</v>
      </c>
      <c r="AL36" s="62" t="s">
        <v>50</v>
      </c>
      <c r="AM36" s="62" t="s">
        <v>77</v>
      </c>
      <c r="AN36" s="5"/>
      <c r="AO36" s="7"/>
    </row>
    <row r="37" spans="1:41" ht="15.75" customHeight="1" x14ac:dyDescent="0.25">
      <c r="A37" s="4">
        <v>36</v>
      </c>
      <c r="B37" s="5" t="s">
        <v>211</v>
      </c>
      <c r="C37" s="58">
        <v>4.2</v>
      </c>
      <c r="D37" s="61" t="s">
        <v>212</v>
      </c>
      <c r="E37" s="72" t="s">
        <v>98</v>
      </c>
      <c r="F37" s="62" t="s">
        <v>172</v>
      </c>
      <c r="G37" s="8" t="s">
        <v>88</v>
      </c>
      <c r="H37" s="8">
        <v>2008</v>
      </c>
      <c r="I37" s="62" t="s">
        <v>44</v>
      </c>
      <c r="J37" s="62" t="s">
        <v>213</v>
      </c>
      <c r="K37" s="62" t="s">
        <v>111</v>
      </c>
      <c r="L37" s="62" t="s">
        <v>83</v>
      </c>
      <c r="M37" s="62" t="s">
        <v>47</v>
      </c>
      <c r="N37" s="5">
        <v>0</v>
      </c>
      <c r="O37" s="8">
        <v>0</v>
      </c>
      <c r="P37" s="69">
        <v>77000</v>
      </c>
      <c r="Q37" s="69">
        <v>135000</v>
      </c>
      <c r="R37" s="69">
        <v>106000</v>
      </c>
      <c r="S37" s="62" t="s">
        <v>102</v>
      </c>
      <c r="T37" s="8">
        <f t="shared" si="0"/>
        <v>15</v>
      </c>
      <c r="U37" s="8">
        <v>1</v>
      </c>
      <c r="V37" s="8">
        <v>0</v>
      </c>
      <c r="W37" s="8">
        <v>0</v>
      </c>
      <c r="X37" s="8">
        <v>1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1</v>
      </c>
      <c r="AG37" s="8">
        <v>1</v>
      </c>
      <c r="AH37" s="8">
        <v>0</v>
      </c>
      <c r="AI37" s="8">
        <v>0</v>
      </c>
      <c r="AJ37" s="8">
        <v>0</v>
      </c>
      <c r="AK37" s="62" t="s">
        <v>132</v>
      </c>
      <c r="AL37" s="62" t="s">
        <v>50</v>
      </c>
      <c r="AM37" s="62" t="s">
        <v>77</v>
      </c>
      <c r="AN37" s="5"/>
      <c r="AO37" s="7"/>
    </row>
    <row r="38" spans="1:41" ht="15.75" customHeight="1" x14ac:dyDescent="0.25">
      <c r="A38" s="4">
        <v>37</v>
      </c>
      <c r="B38" s="5" t="s">
        <v>39</v>
      </c>
      <c r="C38" s="58">
        <v>3.5</v>
      </c>
      <c r="D38" s="61" t="s">
        <v>214</v>
      </c>
      <c r="E38" s="72" t="s">
        <v>215</v>
      </c>
      <c r="F38" s="62" t="s">
        <v>215</v>
      </c>
      <c r="G38" s="8" t="s">
        <v>70</v>
      </c>
      <c r="H38" s="8">
        <v>1969</v>
      </c>
      <c r="I38" s="62" t="s">
        <v>44</v>
      </c>
      <c r="J38" s="62" t="s">
        <v>216</v>
      </c>
      <c r="K38" s="62" t="s">
        <v>111</v>
      </c>
      <c r="L38" s="62" t="s">
        <v>91</v>
      </c>
      <c r="M38" s="62" t="s">
        <v>217</v>
      </c>
      <c r="N38" s="5">
        <v>0</v>
      </c>
      <c r="O38" s="8">
        <v>0</v>
      </c>
      <c r="P38" s="69">
        <v>82000</v>
      </c>
      <c r="Q38" s="69">
        <v>132000</v>
      </c>
      <c r="R38" s="69">
        <v>107000</v>
      </c>
      <c r="S38" s="62" t="s">
        <v>102</v>
      </c>
      <c r="T38" s="8">
        <f t="shared" si="0"/>
        <v>54</v>
      </c>
      <c r="U38" s="8">
        <v>1</v>
      </c>
      <c r="V38" s="8">
        <v>1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0</v>
      </c>
      <c r="AH38" s="8">
        <v>0</v>
      </c>
      <c r="AI38" s="8">
        <v>1</v>
      </c>
      <c r="AJ38" s="8">
        <v>0</v>
      </c>
      <c r="AK38" s="62" t="s">
        <v>49</v>
      </c>
      <c r="AL38" s="62" t="s">
        <v>50</v>
      </c>
      <c r="AM38" s="62" t="s">
        <v>51</v>
      </c>
      <c r="AN38" s="5"/>
      <c r="AO38" s="7"/>
    </row>
    <row r="39" spans="1:41" ht="15.75" customHeight="1" x14ac:dyDescent="0.25">
      <c r="A39" s="4">
        <v>38</v>
      </c>
      <c r="B39" s="5" t="s">
        <v>39</v>
      </c>
      <c r="C39" s="58">
        <v>4.7</v>
      </c>
      <c r="D39" s="61" t="s">
        <v>218</v>
      </c>
      <c r="E39" s="72" t="s">
        <v>219</v>
      </c>
      <c r="F39" s="62" t="s">
        <v>219</v>
      </c>
      <c r="G39" s="8" t="s">
        <v>88</v>
      </c>
      <c r="H39" s="8">
        <v>2010</v>
      </c>
      <c r="I39" s="62" t="s">
        <v>44</v>
      </c>
      <c r="J39" s="62" t="s">
        <v>45</v>
      </c>
      <c r="K39" s="62" t="s">
        <v>45</v>
      </c>
      <c r="L39" s="62" t="s">
        <v>66</v>
      </c>
      <c r="M39" s="62" t="s">
        <v>47</v>
      </c>
      <c r="N39" s="5">
        <v>0</v>
      </c>
      <c r="O39" s="8">
        <v>0</v>
      </c>
      <c r="P39" s="69">
        <v>83000</v>
      </c>
      <c r="Q39" s="69">
        <v>137000</v>
      </c>
      <c r="R39" s="69">
        <v>110000</v>
      </c>
      <c r="S39" s="62" t="s">
        <v>138</v>
      </c>
      <c r="T39" s="8">
        <f t="shared" si="0"/>
        <v>13</v>
      </c>
      <c r="U39" s="8">
        <v>1</v>
      </c>
      <c r="V39" s="8">
        <v>1</v>
      </c>
      <c r="W39" s="8">
        <v>0</v>
      </c>
      <c r="X39" s="8">
        <v>1</v>
      </c>
      <c r="Y39" s="8">
        <v>1</v>
      </c>
      <c r="Z39" s="8">
        <v>0</v>
      </c>
      <c r="AA39" s="8">
        <v>0</v>
      </c>
      <c r="AB39" s="8">
        <v>1</v>
      </c>
      <c r="AC39" s="8">
        <v>1</v>
      </c>
      <c r="AD39" s="8">
        <v>1</v>
      </c>
      <c r="AE39" s="8">
        <v>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62" t="s">
        <v>49</v>
      </c>
      <c r="AL39" s="62" t="s">
        <v>50</v>
      </c>
      <c r="AM39" s="62" t="s">
        <v>108</v>
      </c>
      <c r="AN39" s="5"/>
      <c r="AO39" s="7"/>
    </row>
    <row r="40" spans="1:41" ht="15.75" customHeight="1" x14ac:dyDescent="0.25">
      <c r="A40" s="4">
        <v>39</v>
      </c>
      <c r="B40" s="5" t="s">
        <v>220</v>
      </c>
      <c r="C40" s="58">
        <v>3.5</v>
      </c>
      <c r="D40" s="61" t="s">
        <v>221</v>
      </c>
      <c r="E40" s="72" t="s">
        <v>222</v>
      </c>
      <c r="F40" s="62" t="s">
        <v>223</v>
      </c>
      <c r="G40" s="8" t="s">
        <v>120</v>
      </c>
      <c r="H40" s="8">
        <v>1870</v>
      </c>
      <c r="I40" s="62" t="s">
        <v>89</v>
      </c>
      <c r="J40" s="62" t="s">
        <v>136</v>
      </c>
      <c r="K40" s="62" t="s">
        <v>136</v>
      </c>
      <c r="L40" s="62" t="s">
        <v>91</v>
      </c>
      <c r="M40" s="62" t="s">
        <v>47</v>
      </c>
      <c r="N40" s="5">
        <v>0</v>
      </c>
      <c r="O40" s="8">
        <v>0</v>
      </c>
      <c r="P40" s="69">
        <v>115000</v>
      </c>
      <c r="Q40" s="69">
        <v>180000</v>
      </c>
      <c r="R40" s="69">
        <v>147500</v>
      </c>
      <c r="S40" s="62" t="s">
        <v>102</v>
      </c>
      <c r="T40" s="8">
        <f t="shared" si="0"/>
        <v>153</v>
      </c>
      <c r="U40" s="8">
        <v>1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62" t="s">
        <v>49</v>
      </c>
      <c r="AL40" s="62" t="s">
        <v>169</v>
      </c>
      <c r="AM40" s="62" t="s">
        <v>51</v>
      </c>
      <c r="AN40" s="5"/>
      <c r="AO40" s="7"/>
    </row>
    <row r="41" spans="1:41" ht="15.75" customHeight="1" x14ac:dyDescent="0.25">
      <c r="A41" s="4">
        <v>40</v>
      </c>
      <c r="B41" s="5" t="s">
        <v>224</v>
      </c>
      <c r="C41" s="58">
        <v>3.5</v>
      </c>
      <c r="D41" s="61" t="s">
        <v>225</v>
      </c>
      <c r="E41" s="72" t="s">
        <v>226</v>
      </c>
      <c r="F41" s="62" t="s">
        <v>227</v>
      </c>
      <c r="G41" s="8" t="s">
        <v>88</v>
      </c>
      <c r="H41" s="8">
        <v>1985</v>
      </c>
      <c r="I41" s="62" t="s">
        <v>44</v>
      </c>
      <c r="J41" s="62" t="s">
        <v>161</v>
      </c>
      <c r="K41" s="62" t="s">
        <v>162</v>
      </c>
      <c r="L41" s="62" t="s">
        <v>66</v>
      </c>
      <c r="M41" s="62" t="s">
        <v>47</v>
      </c>
      <c r="N41" s="5">
        <v>0</v>
      </c>
      <c r="O41" s="8">
        <v>0</v>
      </c>
      <c r="P41" s="69">
        <v>74000</v>
      </c>
      <c r="Q41" s="69">
        <v>138000</v>
      </c>
      <c r="R41" s="69">
        <v>106000</v>
      </c>
      <c r="S41" s="62" t="s">
        <v>85</v>
      </c>
      <c r="T41" s="8">
        <f t="shared" si="0"/>
        <v>38</v>
      </c>
      <c r="U41" s="8">
        <v>1</v>
      </c>
      <c r="V41" s="8">
        <v>0</v>
      </c>
      <c r="W41" s="8">
        <v>0</v>
      </c>
      <c r="X41" s="8">
        <v>1</v>
      </c>
      <c r="Y41" s="8">
        <v>1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62" t="s">
        <v>146</v>
      </c>
      <c r="AL41" s="62" t="s">
        <v>50</v>
      </c>
      <c r="AM41" s="62" t="s">
        <v>51</v>
      </c>
      <c r="AN41" s="5"/>
      <c r="AO41" s="7"/>
    </row>
    <row r="42" spans="1:41" ht="15.75" customHeight="1" x14ac:dyDescent="0.25">
      <c r="A42" s="4">
        <v>41</v>
      </c>
      <c r="B42" s="5" t="s">
        <v>130</v>
      </c>
      <c r="C42" s="58">
        <v>4.2</v>
      </c>
      <c r="D42" s="61" t="s">
        <v>228</v>
      </c>
      <c r="E42" s="72" t="s">
        <v>98</v>
      </c>
      <c r="F42" s="62" t="s">
        <v>114</v>
      </c>
      <c r="G42" s="8" t="s">
        <v>88</v>
      </c>
      <c r="H42" s="8">
        <v>2008</v>
      </c>
      <c r="I42" s="62" t="s">
        <v>44</v>
      </c>
      <c r="J42" s="62" t="s">
        <v>213</v>
      </c>
      <c r="K42" s="62" t="s">
        <v>111</v>
      </c>
      <c r="L42" s="62" t="s">
        <v>46</v>
      </c>
      <c r="M42" s="62" t="s">
        <v>229</v>
      </c>
      <c r="N42" s="5">
        <v>0</v>
      </c>
      <c r="O42" s="8">
        <v>0</v>
      </c>
      <c r="P42" s="69">
        <v>64000</v>
      </c>
      <c r="Q42" s="69">
        <v>112000</v>
      </c>
      <c r="R42" s="69">
        <v>88000</v>
      </c>
      <c r="S42" s="62" t="s">
        <v>102</v>
      </c>
      <c r="T42" s="8">
        <f t="shared" si="0"/>
        <v>15</v>
      </c>
      <c r="U42" s="8">
        <v>1</v>
      </c>
      <c r="V42" s="8">
        <v>0</v>
      </c>
      <c r="W42" s="8">
        <v>1</v>
      </c>
      <c r="X42" s="8">
        <v>1</v>
      </c>
      <c r="Y42" s="8">
        <v>1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1</v>
      </c>
      <c r="AG42" s="8">
        <v>0</v>
      </c>
      <c r="AH42" s="8">
        <v>0</v>
      </c>
      <c r="AI42" s="8">
        <v>1</v>
      </c>
      <c r="AJ42" s="8">
        <v>0</v>
      </c>
      <c r="AK42" s="62" t="s">
        <v>132</v>
      </c>
      <c r="AL42" s="62" t="s">
        <v>50</v>
      </c>
      <c r="AM42" s="62" t="s">
        <v>77</v>
      </c>
      <c r="AN42" s="5"/>
      <c r="AO42" s="7"/>
    </row>
    <row r="43" spans="1:41" ht="15.75" customHeight="1" x14ac:dyDescent="0.25">
      <c r="A43" s="4">
        <v>42</v>
      </c>
      <c r="B43" s="5" t="s">
        <v>224</v>
      </c>
      <c r="C43" s="58">
        <v>3.6</v>
      </c>
      <c r="D43" s="61" t="s">
        <v>230</v>
      </c>
      <c r="E43" s="72" t="s">
        <v>231</v>
      </c>
      <c r="F43" s="62" t="s">
        <v>232</v>
      </c>
      <c r="G43" s="8">
        <v>500</v>
      </c>
      <c r="H43" s="8" t="s">
        <v>47</v>
      </c>
      <c r="I43" s="62" t="s">
        <v>44</v>
      </c>
      <c r="J43" s="62" t="s">
        <v>47</v>
      </c>
      <c r="K43" s="62" t="s">
        <v>47</v>
      </c>
      <c r="L43" s="62" t="s">
        <v>233</v>
      </c>
      <c r="M43" s="62" t="s">
        <v>47</v>
      </c>
      <c r="N43" s="5">
        <v>0</v>
      </c>
      <c r="O43" s="8">
        <v>0</v>
      </c>
      <c r="P43" s="69">
        <v>68000</v>
      </c>
      <c r="Q43" s="69">
        <v>129000</v>
      </c>
      <c r="R43" s="69">
        <v>98500</v>
      </c>
      <c r="S43" s="62" t="s">
        <v>138</v>
      </c>
      <c r="T43" s="8" t="s">
        <v>47</v>
      </c>
      <c r="U43" s="8">
        <v>0</v>
      </c>
      <c r="V43" s="8">
        <v>0</v>
      </c>
      <c r="W43" s="8">
        <v>0</v>
      </c>
      <c r="X43" s="8">
        <v>1</v>
      </c>
      <c r="Y43" s="8">
        <v>1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62" t="s">
        <v>146</v>
      </c>
      <c r="AL43" s="62" t="s">
        <v>50</v>
      </c>
      <c r="AM43" s="62" t="s">
        <v>77</v>
      </c>
      <c r="AN43" s="5"/>
      <c r="AO43" s="7"/>
    </row>
    <row r="44" spans="1:41" ht="15.75" customHeight="1" x14ac:dyDescent="0.25">
      <c r="A44" s="4">
        <v>43</v>
      </c>
      <c r="B44" s="5" t="s">
        <v>234</v>
      </c>
      <c r="C44" s="58">
        <v>4.2</v>
      </c>
      <c r="D44" s="61" t="s">
        <v>157</v>
      </c>
      <c r="E44" s="72" t="s">
        <v>98</v>
      </c>
      <c r="F44" s="62" t="s">
        <v>114</v>
      </c>
      <c r="G44" s="8" t="s">
        <v>81</v>
      </c>
      <c r="H44" s="8">
        <v>2010</v>
      </c>
      <c r="I44" s="62" t="s">
        <v>44</v>
      </c>
      <c r="J44" s="62" t="s">
        <v>47</v>
      </c>
      <c r="K44" s="62" t="s">
        <v>47</v>
      </c>
      <c r="L44" s="62" t="s">
        <v>83</v>
      </c>
      <c r="M44" s="62" t="s">
        <v>47</v>
      </c>
      <c r="N44" s="5">
        <v>0</v>
      </c>
      <c r="O44" s="8">
        <v>0</v>
      </c>
      <c r="P44" s="69">
        <v>110000</v>
      </c>
      <c r="Q44" s="69">
        <v>175000</v>
      </c>
      <c r="R44" s="69">
        <v>142500</v>
      </c>
      <c r="S44" s="62" t="s">
        <v>102</v>
      </c>
      <c r="T44" s="8">
        <f t="shared" ref="T44:T46" si="1">2023-H44</f>
        <v>13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62" t="s">
        <v>49</v>
      </c>
      <c r="AL44" s="62" t="s">
        <v>50</v>
      </c>
      <c r="AM44" s="62" t="s">
        <v>51</v>
      </c>
      <c r="AN44" s="5"/>
      <c r="AO44" s="7"/>
    </row>
    <row r="45" spans="1:41" ht="15.75" customHeight="1" x14ac:dyDescent="0.25">
      <c r="A45" s="4">
        <v>44</v>
      </c>
      <c r="B45" s="5" t="s">
        <v>235</v>
      </c>
      <c r="C45" s="58">
        <v>3.4</v>
      </c>
      <c r="D45" s="61" t="s">
        <v>236</v>
      </c>
      <c r="E45" s="72" t="s">
        <v>237</v>
      </c>
      <c r="F45" s="62" t="s">
        <v>238</v>
      </c>
      <c r="G45" s="8" t="s">
        <v>120</v>
      </c>
      <c r="H45" s="8">
        <v>2015</v>
      </c>
      <c r="I45" s="62" t="s">
        <v>89</v>
      </c>
      <c r="J45" s="62" t="s">
        <v>47</v>
      </c>
      <c r="K45" s="62" t="s">
        <v>47</v>
      </c>
      <c r="L45" s="62" t="s">
        <v>60</v>
      </c>
      <c r="M45" s="62" t="s">
        <v>239</v>
      </c>
      <c r="N45" s="5">
        <v>0</v>
      </c>
      <c r="O45" s="8">
        <v>0</v>
      </c>
      <c r="P45" s="69">
        <v>52000</v>
      </c>
      <c r="Q45" s="69">
        <v>113000</v>
      </c>
      <c r="R45" s="69">
        <v>82500</v>
      </c>
      <c r="S45" s="62" t="s">
        <v>145</v>
      </c>
      <c r="T45" s="8">
        <f t="shared" si="1"/>
        <v>8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62" t="s">
        <v>107</v>
      </c>
      <c r="AL45" s="62" t="s">
        <v>50</v>
      </c>
      <c r="AM45" s="62" t="s">
        <v>51</v>
      </c>
      <c r="AN45" s="5"/>
      <c r="AO45" s="7"/>
    </row>
    <row r="46" spans="1:41" ht="15.75" customHeight="1" x14ac:dyDescent="0.25">
      <c r="A46" s="4">
        <v>45</v>
      </c>
      <c r="B46" s="5" t="s">
        <v>220</v>
      </c>
      <c r="C46" s="58">
        <v>4.3</v>
      </c>
      <c r="D46" s="61" t="s">
        <v>240</v>
      </c>
      <c r="E46" s="72" t="s">
        <v>172</v>
      </c>
      <c r="F46" s="62" t="s">
        <v>172</v>
      </c>
      <c r="G46" s="8" t="s">
        <v>70</v>
      </c>
      <c r="H46" s="8">
        <v>1993</v>
      </c>
      <c r="I46" s="62" t="s">
        <v>89</v>
      </c>
      <c r="J46" s="62" t="s">
        <v>47</v>
      </c>
      <c r="K46" s="62" t="s">
        <v>47</v>
      </c>
      <c r="L46" s="62" t="s">
        <v>60</v>
      </c>
      <c r="M46" s="62" t="s">
        <v>241</v>
      </c>
      <c r="N46" s="5">
        <v>0</v>
      </c>
      <c r="O46" s="8">
        <v>0</v>
      </c>
      <c r="P46" s="69">
        <v>110000</v>
      </c>
      <c r="Q46" s="69">
        <v>150000</v>
      </c>
      <c r="R46" s="69">
        <v>130000</v>
      </c>
      <c r="S46" s="62" t="s">
        <v>176</v>
      </c>
      <c r="T46" s="8">
        <f t="shared" si="1"/>
        <v>30</v>
      </c>
      <c r="U46" s="8">
        <v>1</v>
      </c>
      <c r="V46" s="8">
        <v>1</v>
      </c>
      <c r="W46" s="8">
        <v>0</v>
      </c>
      <c r="X46" s="8">
        <v>1</v>
      </c>
      <c r="Y46" s="8">
        <v>1</v>
      </c>
      <c r="Z46" s="8">
        <v>0</v>
      </c>
      <c r="AA46" s="8">
        <v>0</v>
      </c>
      <c r="AB46" s="8">
        <v>0</v>
      </c>
      <c r="AC46" s="8">
        <v>1</v>
      </c>
      <c r="AD46" s="8">
        <v>0</v>
      </c>
      <c r="AE46" s="8">
        <v>1</v>
      </c>
      <c r="AF46" s="8">
        <v>1</v>
      </c>
      <c r="AG46" s="8">
        <v>1</v>
      </c>
      <c r="AH46" s="8">
        <v>0</v>
      </c>
      <c r="AI46" s="8">
        <v>0</v>
      </c>
      <c r="AJ46" s="8">
        <v>0</v>
      </c>
      <c r="AK46" s="62" t="s">
        <v>49</v>
      </c>
      <c r="AL46" s="62" t="s">
        <v>169</v>
      </c>
      <c r="AM46" s="62" t="s">
        <v>51</v>
      </c>
      <c r="AN46" s="5"/>
      <c r="AO46" s="7"/>
    </row>
    <row r="47" spans="1:41" ht="15.75" customHeight="1" x14ac:dyDescent="0.25">
      <c r="A47" s="4">
        <v>46</v>
      </c>
      <c r="B47" s="5" t="s">
        <v>39</v>
      </c>
      <c r="C47" s="58">
        <v>5</v>
      </c>
      <c r="D47" s="61" t="s">
        <v>242</v>
      </c>
      <c r="E47" s="72" t="s">
        <v>243</v>
      </c>
      <c r="F47" s="62" t="s">
        <v>244</v>
      </c>
      <c r="G47" s="8">
        <v>500</v>
      </c>
      <c r="H47" s="8" t="s">
        <v>47</v>
      </c>
      <c r="I47" s="62" t="s">
        <v>44</v>
      </c>
      <c r="J47" s="62" t="s">
        <v>47</v>
      </c>
      <c r="K47" s="62" t="s">
        <v>47</v>
      </c>
      <c r="L47" s="62" t="s">
        <v>83</v>
      </c>
      <c r="M47" s="62" t="s">
        <v>47</v>
      </c>
      <c r="N47" s="5">
        <v>0</v>
      </c>
      <c r="O47" s="8">
        <v>1</v>
      </c>
      <c r="P47" s="69">
        <v>150000</v>
      </c>
      <c r="Q47" s="69">
        <v>160000</v>
      </c>
      <c r="R47" s="69">
        <v>155000</v>
      </c>
      <c r="S47" s="62" t="s">
        <v>245</v>
      </c>
      <c r="T47" s="8" t="s">
        <v>47</v>
      </c>
      <c r="U47" s="8">
        <v>0</v>
      </c>
      <c r="V47" s="8">
        <v>0</v>
      </c>
      <c r="W47" s="8">
        <v>1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62" t="s">
        <v>49</v>
      </c>
      <c r="AL47" s="62" t="s">
        <v>50</v>
      </c>
      <c r="AM47" s="62" t="s">
        <v>77</v>
      </c>
      <c r="AN47" s="5"/>
      <c r="AO47" s="7"/>
    </row>
    <row r="48" spans="1:41" ht="15.75" customHeight="1" x14ac:dyDescent="0.25">
      <c r="A48" s="4">
        <v>47</v>
      </c>
      <c r="B48" s="5" t="s">
        <v>246</v>
      </c>
      <c r="C48" s="58">
        <v>3.7</v>
      </c>
      <c r="D48" s="61" t="s">
        <v>247</v>
      </c>
      <c r="E48" s="72" t="s">
        <v>248</v>
      </c>
      <c r="F48" s="62" t="s">
        <v>249</v>
      </c>
      <c r="G48" s="8" t="s">
        <v>56</v>
      </c>
      <c r="H48" s="8">
        <v>1958</v>
      </c>
      <c r="I48" s="62" t="s">
        <v>89</v>
      </c>
      <c r="J48" s="62" t="s">
        <v>47</v>
      </c>
      <c r="K48" s="62" t="s">
        <v>47</v>
      </c>
      <c r="L48" s="62" t="s">
        <v>128</v>
      </c>
      <c r="M48" s="62" t="s">
        <v>250</v>
      </c>
      <c r="N48" s="5">
        <v>0</v>
      </c>
      <c r="O48" s="8">
        <v>0</v>
      </c>
      <c r="P48" s="69">
        <v>158000</v>
      </c>
      <c r="Q48" s="69">
        <v>211000</v>
      </c>
      <c r="R48" s="69">
        <v>184500</v>
      </c>
      <c r="S48" s="62" t="s">
        <v>76</v>
      </c>
      <c r="T48" s="8">
        <f t="shared" ref="T48:T69" si="2">2023-H48</f>
        <v>65</v>
      </c>
      <c r="U48" s="8">
        <v>1</v>
      </c>
      <c r="V48" s="8">
        <v>0</v>
      </c>
      <c r="W48" s="8">
        <v>0</v>
      </c>
      <c r="X48" s="8">
        <v>1</v>
      </c>
      <c r="Y48" s="8">
        <v>1</v>
      </c>
      <c r="Z48" s="8">
        <v>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</v>
      </c>
      <c r="AG48" s="8">
        <v>0</v>
      </c>
      <c r="AH48" s="8">
        <v>0</v>
      </c>
      <c r="AI48" s="8">
        <v>0</v>
      </c>
      <c r="AJ48" s="8">
        <v>0</v>
      </c>
      <c r="AK48" s="62" t="s">
        <v>49</v>
      </c>
      <c r="AL48" s="62" t="s">
        <v>169</v>
      </c>
      <c r="AM48" s="62" t="s">
        <v>77</v>
      </c>
      <c r="AN48" s="5"/>
      <c r="AO48" s="7"/>
    </row>
    <row r="49" spans="1:41" ht="15.75" customHeight="1" x14ac:dyDescent="0.25">
      <c r="A49" s="4">
        <v>48</v>
      </c>
      <c r="B49" s="5" t="s">
        <v>191</v>
      </c>
      <c r="C49" s="58">
        <v>3.1</v>
      </c>
      <c r="D49" s="61" t="s">
        <v>251</v>
      </c>
      <c r="E49" s="72" t="s">
        <v>252</v>
      </c>
      <c r="F49" s="62" t="s">
        <v>253</v>
      </c>
      <c r="G49" s="8" t="s">
        <v>120</v>
      </c>
      <c r="H49" s="8">
        <v>1986</v>
      </c>
      <c r="I49" s="62" t="s">
        <v>44</v>
      </c>
      <c r="J49" s="62" t="s">
        <v>47</v>
      </c>
      <c r="K49" s="62" t="s">
        <v>47</v>
      </c>
      <c r="L49" s="62" t="s">
        <v>60</v>
      </c>
      <c r="M49" s="62" t="s">
        <v>47</v>
      </c>
      <c r="N49" s="5">
        <v>0</v>
      </c>
      <c r="O49" s="8">
        <v>0</v>
      </c>
      <c r="P49" s="69">
        <v>20000</v>
      </c>
      <c r="Q49" s="69">
        <v>39000</v>
      </c>
      <c r="R49" s="69">
        <v>29500</v>
      </c>
      <c r="S49" s="62" t="s">
        <v>163</v>
      </c>
      <c r="T49" s="8">
        <f t="shared" si="2"/>
        <v>37</v>
      </c>
      <c r="U49" s="8">
        <v>0</v>
      </c>
      <c r="V49" s="8">
        <v>0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62" t="s">
        <v>132</v>
      </c>
      <c r="AL49" s="62" t="s">
        <v>50</v>
      </c>
      <c r="AM49" s="62" t="s">
        <v>51</v>
      </c>
      <c r="AN49" s="5"/>
      <c r="AO49" s="7"/>
    </row>
    <row r="50" spans="1:41" ht="15.75" customHeight="1" x14ac:dyDescent="0.25">
      <c r="A50" s="4">
        <v>49</v>
      </c>
      <c r="B50" s="5" t="s">
        <v>254</v>
      </c>
      <c r="C50" s="58">
        <v>4.7</v>
      </c>
      <c r="D50" s="61" t="s">
        <v>255</v>
      </c>
      <c r="E50" s="72" t="s">
        <v>256</v>
      </c>
      <c r="F50" s="62" t="s">
        <v>118</v>
      </c>
      <c r="G50" s="8" t="s">
        <v>43</v>
      </c>
      <c r="H50" s="8">
        <v>1999</v>
      </c>
      <c r="I50" s="62" t="s">
        <v>44</v>
      </c>
      <c r="J50" s="62" t="s">
        <v>47</v>
      </c>
      <c r="K50" s="62" t="s">
        <v>47</v>
      </c>
      <c r="L50" s="62" t="s">
        <v>66</v>
      </c>
      <c r="M50" s="62" t="s">
        <v>257</v>
      </c>
      <c r="N50" s="5">
        <v>0</v>
      </c>
      <c r="O50" s="8">
        <v>0</v>
      </c>
      <c r="P50" s="69">
        <v>56000</v>
      </c>
      <c r="Q50" s="69">
        <v>117000</v>
      </c>
      <c r="R50" s="69">
        <v>86500</v>
      </c>
      <c r="S50" s="62" t="s">
        <v>258</v>
      </c>
      <c r="T50" s="8">
        <f t="shared" si="2"/>
        <v>24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62" t="s">
        <v>107</v>
      </c>
      <c r="AL50" s="62" t="s">
        <v>50</v>
      </c>
      <c r="AM50" s="62" t="s">
        <v>51</v>
      </c>
      <c r="AN50" s="5"/>
      <c r="AO50" s="7"/>
    </row>
    <row r="51" spans="1:41" ht="15.75" customHeight="1" x14ac:dyDescent="0.25">
      <c r="A51" s="4">
        <v>50</v>
      </c>
      <c r="B51" s="5" t="s">
        <v>259</v>
      </c>
      <c r="C51" s="58">
        <v>3.7</v>
      </c>
      <c r="D51" s="61" t="s">
        <v>260</v>
      </c>
      <c r="E51" s="72" t="s">
        <v>261</v>
      </c>
      <c r="F51" s="62" t="s">
        <v>262</v>
      </c>
      <c r="G51" s="8" t="s">
        <v>56</v>
      </c>
      <c r="H51" s="8">
        <v>1925</v>
      </c>
      <c r="I51" s="62" t="s">
        <v>89</v>
      </c>
      <c r="J51" s="62" t="s">
        <v>47</v>
      </c>
      <c r="K51" s="62" t="s">
        <v>47</v>
      </c>
      <c r="L51" s="62" t="s">
        <v>128</v>
      </c>
      <c r="M51" s="62" t="s">
        <v>263</v>
      </c>
      <c r="N51" s="5">
        <v>0</v>
      </c>
      <c r="O51" s="8">
        <v>0</v>
      </c>
      <c r="P51" s="69">
        <v>63000</v>
      </c>
      <c r="Q51" s="69">
        <v>99000</v>
      </c>
      <c r="R51" s="69">
        <v>81000</v>
      </c>
      <c r="S51" s="62" t="s">
        <v>176</v>
      </c>
      <c r="T51" s="8">
        <f t="shared" si="2"/>
        <v>98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62" t="s">
        <v>49</v>
      </c>
      <c r="AL51" s="62" t="s">
        <v>50</v>
      </c>
      <c r="AM51" s="62" t="s">
        <v>77</v>
      </c>
      <c r="AN51" s="5"/>
      <c r="AO51" s="7"/>
    </row>
    <row r="52" spans="1:41" ht="15.75" customHeight="1" x14ac:dyDescent="0.25">
      <c r="A52" s="4">
        <v>51</v>
      </c>
      <c r="B52" s="5" t="s">
        <v>39</v>
      </c>
      <c r="C52" s="58">
        <v>3.8</v>
      </c>
      <c r="D52" s="61" t="s">
        <v>264</v>
      </c>
      <c r="E52" s="72" t="s">
        <v>265</v>
      </c>
      <c r="F52" s="62" t="s">
        <v>266</v>
      </c>
      <c r="G52" s="8" t="s">
        <v>43</v>
      </c>
      <c r="H52" s="8">
        <v>1984</v>
      </c>
      <c r="I52" s="62" t="s">
        <v>142</v>
      </c>
      <c r="J52" s="62" t="s">
        <v>47</v>
      </c>
      <c r="K52" s="62" t="s">
        <v>47</v>
      </c>
      <c r="L52" s="62" t="s">
        <v>83</v>
      </c>
      <c r="M52" s="62" t="s">
        <v>47</v>
      </c>
      <c r="N52" s="5">
        <v>0</v>
      </c>
      <c r="O52" s="8">
        <v>0</v>
      </c>
      <c r="P52" s="69">
        <v>68000</v>
      </c>
      <c r="Q52" s="69">
        <v>114000</v>
      </c>
      <c r="R52" s="69">
        <v>91000</v>
      </c>
      <c r="S52" s="62" t="s">
        <v>67</v>
      </c>
      <c r="T52" s="8">
        <f t="shared" si="2"/>
        <v>39</v>
      </c>
      <c r="U52" s="8">
        <v>1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1</v>
      </c>
      <c r="AG52" s="8">
        <v>0</v>
      </c>
      <c r="AH52" s="8">
        <v>0</v>
      </c>
      <c r="AI52" s="8">
        <v>0</v>
      </c>
      <c r="AJ52" s="8">
        <v>0</v>
      </c>
      <c r="AK52" s="62" t="s">
        <v>49</v>
      </c>
      <c r="AL52" s="62" t="s">
        <v>50</v>
      </c>
      <c r="AM52" s="62" t="s">
        <v>77</v>
      </c>
      <c r="AN52" s="5"/>
      <c r="AO52" s="7"/>
    </row>
    <row r="53" spans="1:41" ht="15.75" customHeight="1" x14ac:dyDescent="0.25">
      <c r="A53" s="4">
        <v>52</v>
      </c>
      <c r="B53" s="5" t="s">
        <v>267</v>
      </c>
      <c r="C53" s="58">
        <v>3.3</v>
      </c>
      <c r="D53" s="61" t="s">
        <v>268</v>
      </c>
      <c r="E53" s="72" t="s">
        <v>269</v>
      </c>
      <c r="F53" s="62" t="s">
        <v>269</v>
      </c>
      <c r="G53" s="8" t="s">
        <v>56</v>
      </c>
      <c r="H53" s="8">
        <v>1912</v>
      </c>
      <c r="I53" s="62" t="s">
        <v>44</v>
      </c>
      <c r="J53" s="62" t="s">
        <v>161</v>
      </c>
      <c r="K53" s="62" t="s">
        <v>162</v>
      </c>
      <c r="L53" s="62" t="s">
        <v>128</v>
      </c>
      <c r="M53" s="62" t="s">
        <v>270</v>
      </c>
      <c r="N53" s="5">
        <v>0</v>
      </c>
      <c r="O53" s="8">
        <v>0</v>
      </c>
      <c r="P53" s="69">
        <v>86000</v>
      </c>
      <c r="Q53" s="69">
        <v>143000</v>
      </c>
      <c r="R53" s="69">
        <v>114500</v>
      </c>
      <c r="S53" s="62" t="s">
        <v>138</v>
      </c>
      <c r="T53" s="8">
        <f t="shared" si="2"/>
        <v>111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62" t="s">
        <v>49</v>
      </c>
      <c r="AL53" s="62" t="s">
        <v>50</v>
      </c>
      <c r="AM53" s="62" t="s">
        <v>77</v>
      </c>
      <c r="AN53" s="5"/>
      <c r="AO53" s="7"/>
    </row>
    <row r="54" spans="1:41" ht="15.75" customHeight="1" x14ac:dyDescent="0.25">
      <c r="A54" s="4">
        <v>53</v>
      </c>
      <c r="B54" s="5" t="s">
        <v>271</v>
      </c>
      <c r="C54" s="58">
        <v>4.5999999999999996</v>
      </c>
      <c r="D54" s="61" t="s">
        <v>272</v>
      </c>
      <c r="E54" s="72" t="s">
        <v>273</v>
      </c>
      <c r="F54" s="62" t="s">
        <v>273</v>
      </c>
      <c r="G54" s="8" t="s">
        <v>70</v>
      </c>
      <c r="H54" s="8">
        <v>2002</v>
      </c>
      <c r="I54" s="62" t="s">
        <v>44</v>
      </c>
      <c r="J54" s="62" t="s">
        <v>45</v>
      </c>
      <c r="K54" s="62" t="s">
        <v>45</v>
      </c>
      <c r="L54" s="62" t="s">
        <v>66</v>
      </c>
      <c r="M54" s="62" t="s">
        <v>47</v>
      </c>
      <c r="N54" s="5">
        <v>0</v>
      </c>
      <c r="O54" s="8">
        <v>0</v>
      </c>
      <c r="P54" s="69">
        <v>41000</v>
      </c>
      <c r="Q54" s="69">
        <v>95000</v>
      </c>
      <c r="R54" s="69">
        <v>68000</v>
      </c>
      <c r="S54" s="62" t="s">
        <v>274</v>
      </c>
      <c r="T54" s="8">
        <f t="shared" si="2"/>
        <v>21</v>
      </c>
      <c r="U54" s="8">
        <v>1</v>
      </c>
      <c r="V54" s="8">
        <v>0</v>
      </c>
      <c r="W54" s="8">
        <v>0</v>
      </c>
      <c r="X54" s="8">
        <v>1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 s="8">
        <v>0</v>
      </c>
      <c r="AH54" s="8">
        <v>0</v>
      </c>
      <c r="AI54" s="8">
        <v>0</v>
      </c>
      <c r="AJ54" s="8">
        <v>0</v>
      </c>
      <c r="AK54" s="62" t="s">
        <v>49</v>
      </c>
      <c r="AL54" s="62" t="s">
        <v>50</v>
      </c>
      <c r="AM54" s="62" t="s">
        <v>77</v>
      </c>
      <c r="AN54" s="5"/>
      <c r="AO54" s="7"/>
    </row>
    <row r="55" spans="1:41" ht="15.75" customHeight="1" x14ac:dyDescent="0.25">
      <c r="A55" s="4">
        <v>54</v>
      </c>
      <c r="B55" s="5" t="s">
        <v>39</v>
      </c>
      <c r="C55" s="58">
        <v>3.7</v>
      </c>
      <c r="D55" s="61" t="s">
        <v>275</v>
      </c>
      <c r="E55" s="72" t="s">
        <v>276</v>
      </c>
      <c r="F55" s="62" t="s">
        <v>277</v>
      </c>
      <c r="G55" s="8" t="s">
        <v>56</v>
      </c>
      <c r="H55" s="8">
        <v>1863</v>
      </c>
      <c r="I55" s="62" t="s">
        <v>89</v>
      </c>
      <c r="J55" s="62" t="s">
        <v>168</v>
      </c>
      <c r="K55" s="62" t="s">
        <v>162</v>
      </c>
      <c r="L55" s="62" t="s">
        <v>128</v>
      </c>
      <c r="M55" s="62" t="s">
        <v>278</v>
      </c>
      <c r="N55" s="5">
        <v>0</v>
      </c>
      <c r="O55" s="8">
        <v>0</v>
      </c>
      <c r="P55" s="69">
        <v>86000</v>
      </c>
      <c r="Q55" s="69">
        <v>144000</v>
      </c>
      <c r="R55" s="69">
        <v>115000</v>
      </c>
      <c r="S55" s="62" t="s">
        <v>85</v>
      </c>
      <c r="T55" s="8">
        <f t="shared" si="2"/>
        <v>160</v>
      </c>
      <c r="U55" s="8">
        <v>1</v>
      </c>
      <c r="V55" s="8">
        <v>0</v>
      </c>
      <c r="W55" s="8">
        <v>0</v>
      </c>
      <c r="X55" s="8">
        <v>1</v>
      </c>
      <c r="Y55" s="8">
        <v>1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62" t="s">
        <v>49</v>
      </c>
      <c r="AL55" s="62" t="s">
        <v>50</v>
      </c>
      <c r="AM55" s="62" t="s">
        <v>51</v>
      </c>
      <c r="AN55" s="5"/>
      <c r="AO55" s="7"/>
    </row>
    <row r="56" spans="1:41" ht="15.75" customHeight="1" x14ac:dyDescent="0.25">
      <c r="A56" s="4">
        <v>55</v>
      </c>
      <c r="B56" s="5" t="s">
        <v>39</v>
      </c>
      <c r="C56" s="58">
        <v>3.7</v>
      </c>
      <c r="D56" s="61" t="s">
        <v>279</v>
      </c>
      <c r="E56" s="72" t="s">
        <v>98</v>
      </c>
      <c r="F56" s="62" t="s">
        <v>280</v>
      </c>
      <c r="G56" s="8" t="s">
        <v>56</v>
      </c>
      <c r="H56" s="8">
        <v>1939</v>
      </c>
      <c r="I56" s="62" t="s">
        <v>89</v>
      </c>
      <c r="J56" s="62" t="s">
        <v>45</v>
      </c>
      <c r="K56" s="62" t="s">
        <v>45</v>
      </c>
      <c r="L56" s="62" t="s">
        <v>128</v>
      </c>
      <c r="M56" s="62" t="s">
        <v>47</v>
      </c>
      <c r="N56" s="5">
        <v>0</v>
      </c>
      <c r="O56" s="8">
        <v>0</v>
      </c>
      <c r="P56" s="69">
        <v>80000</v>
      </c>
      <c r="Q56" s="69">
        <v>139000</v>
      </c>
      <c r="R56" s="69">
        <v>109500</v>
      </c>
      <c r="S56" s="62" t="s">
        <v>102</v>
      </c>
      <c r="T56" s="8">
        <f t="shared" si="2"/>
        <v>84</v>
      </c>
      <c r="U56" s="8">
        <v>0</v>
      </c>
      <c r="V56" s="8">
        <v>0</v>
      </c>
      <c r="W56" s="8">
        <v>0</v>
      </c>
      <c r="X56" s="8">
        <v>1</v>
      </c>
      <c r="Y56" s="8">
        <v>1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1</v>
      </c>
      <c r="AG56" s="8">
        <v>0</v>
      </c>
      <c r="AH56" s="8">
        <v>0</v>
      </c>
      <c r="AI56" s="8">
        <v>0</v>
      </c>
      <c r="AJ56" s="8">
        <v>0</v>
      </c>
      <c r="AK56" s="62" t="s">
        <v>49</v>
      </c>
      <c r="AL56" s="62" t="s">
        <v>50</v>
      </c>
      <c r="AM56" s="62" t="s">
        <v>77</v>
      </c>
      <c r="AN56" s="5"/>
      <c r="AO56" s="7"/>
    </row>
    <row r="57" spans="1:41" ht="15.75" customHeight="1" x14ac:dyDescent="0.25">
      <c r="A57" s="4">
        <v>56</v>
      </c>
      <c r="B57" s="5" t="s">
        <v>39</v>
      </c>
      <c r="C57" s="58">
        <v>3.5</v>
      </c>
      <c r="D57" s="61" t="s">
        <v>221</v>
      </c>
      <c r="E57" s="72" t="s">
        <v>41</v>
      </c>
      <c r="F57" s="62" t="s">
        <v>223</v>
      </c>
      <c r="G57" s="8" t="s">
        <v>120</v>
      </c>
      <c r="H57" s="8">
        <v>1870</v>
      </c>
      <c r="I57" s="62" t="s">
        <v>89</v>
      </c>
      <c r="J57" s="62" t="s">
        <v>136</v>
      </c>
      <c r="K57" s="62" t="s">
        <v>136</v>
      </c>
      <c r="L57" s="62" t="s">
        <v>91</v>
      </c>
      <c r="M57" s="62" t="s">
        <v>47</v>
      </c>
      <c r="N57" s="5">
        <v>0</v>
      </c>
      <c r="O57" s="8">
        <v>0</v>
      </c>
      <c r="P57" s="69">
        <v>56000</v>
      </c>
      <c r="Q57" s="69">
        <v>95000</v>
      </c>
      <c r="R57" s="69">
        <v>75500</v>
      </c>
      <c r="S57" s="62" t="s">
        <v>48</v>
      </c>
      <c r="T57" s="8">
        <f t="shared" si="2"/>
        <v>153</v>
      </c>
      <c r="U57" s="8">
        <v>1</v>
      </c>
      <c r="V57" s="8">
        <v>0</v>
      </c>
      <c r="W57" s="8">
        <v>0</v>
      </c>
      <c r="X57" s="8">
        <v>1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62" t="s">
        <v>49</v>
      </c>
      <c r="AL57" s="62" t="s">
        <v>50</v>
      </c>
      <c r="AM57" s="62" t="s">
        <v>51</v>
      </c>
      <c r="AN57" s="5"/>
      <c r="AO57" s="7"/>
    </row>
    <row r="58" spans="1:41" ht="15.75" customHeight="1" x14ac:dyDescent="0.25">
      <c r="A58" s="4">
        <v>57</v>
      </c>
      <c r="B58" s="5" t="s">
        <v>39</v>
      </c>
      <c r="C58" s="58">
        <v>4.0999999999999996</v>
      </c>
      <c r="D58" s="61" t="s">
        <v>281</v>
      </c>
      <c r="E58" s="72" t="s">
        <v>98</v>
      </c>
      <c r="F58" s="62" t="s">
        <v>282</v>
      </c>
      <c r="G58" s="8" t="s">
        <v>43</v>
      </c>
      <c r="H58" s="8">
        <v>2012</v>
      </c>
      <c r="I58" s="62" t="s">
        <v>44</v>
      </c>
      <c r="J58" s="62" t="s">
        <v>155</v>
      </c>
      <c r="K58" s="62" t="s">
        <v>111</v>
      </c>
      <c r="L58" s="62" t="s">
        <v>83</v>
      </c>
      <c r="M58" s="62" t="s">
        <v>283</v>
      </c>
      <c r="N58" s="5">
        <v>0</v>
      </c>
      <c r="O58" s="8">
        <v>0</v>
      </c>
      <c r="P58" s="69">
        <v>120000</v>
      </c>
      <c r="Q58" s="69">
        <v>189000</v>
      </c>
      <c r="R58" s="69">
        <v>154500</v>
      </c>
      <c r="S58" s="62" t="s">
        <v>102</v>
      </c>
      <c r="T58" s="8">
        <f t="shared" si="2"/>
        <v>11</v>
      </c>
      <c r="U58" s="8">
        <v>1</v>
      </c>
      <c r="V58" s="8">
        <v>1</v>
      </c>
      <c r="W58" s="8">
        <v>0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</v>
      </c>
      <c r="AE58" s="8">
        <v>0</v>
      </c>
      <c r="AF58" s="8">
        <v>0</v>
      </c>
      <c r="AG58" s="8">
        <v>0</v>
      </c>
      <c r="AH58" s="8">
        <v>1</v>
      </c>
      <c r="AI58" s="8">
        <v>0</v>
      </c>
      <c r="AJ58" s="8">
        <v>0</v>
      </c>
      <c r="AK58" s="62" t="s">
        <v>49</v>
      </c>
      <c r="AL58" s="62" t="s">
        <v>50</v>
      </c>
      <c r="AM58" s="62" t="s">
        <v>108</v>
      </c>
      <c r="AN58" s="5"/>
      <c r="AO58" s="7"/>
    </row>
    <row r="59" spans="1:41" ht="15.75" customHeight="1" x14ac:dyDescent="0.25">
      <c r="A59" s="4">
        <v>58</v>
      </c>
      <c r="B59" s="5" t="s">
        <v>39</v>
      </c>
      <c r="C59" s="58">
        <v>4.7</v>
      </c>
      <c r="D59" s="61" t="s">
        <v>284</v>
      </c>
      <c r="E59" s="72" t="s">
        <v>285</v>
      </c>
      <c r="F59" s="62" t="s">
        <v>286</v>
      </c>
      <c r="G59" s="8" t="s">
        <v>81</v>
      </c>
      <c r="H59" s="8">
        <v>2016</v>
      </c>
      <c r="I59" s="62" t="s">
        <v>44</v>
      </c>
      <c r="J59" s="62" t="s">
        <v>213</v>
      </c>
      <c r="K59" s="62" t="s">
        <v>111</v>
      </c>
      <c r="L59" s="62" t="s">
        <v>83</v>
      </c>
      <c r="M59" s="62" t="s">
        <v>287</v>
      </c>
      <c r="N59" s="5">
        <v>0</v>
      </c>
      <c r="O59" s="8">
        <v>0</v>
      </c>
      <c r="P59" s="69">
        <v>111000</v>
      </c>
      <c r="Q59" s="69">
        <v>176000</v>
      </c>
      <c r="R59" s="69">
        <v>143500</v>
      </c>
      <c r="S59" s="62" t="s">
        <v>288</v>
      </c>
      <c r="T59" s="8">
        <f t="shared" si="2"/>
        <v>7</v>
      </c>
      <c r="U59" s="8">
        <v>1</v>
      </c>
      <c r="V59" s="8">
        <v>1</v>
      </c>
      <c r="W59" s="8">
        <v>0</v>
      </c>
      <c r="X59" s="8">
        <v>0</v>
      </c>
      <c r="Y59" s="8">
        <v>1</v>
      </c>
      <c r="Z59" s="8">
        <v>0</v>
      </c>
      <c r="AA59" s="8">
        <v>1</v>
      </c>
      <c r="AB59" s="8">
        <v>0</v>
      </c>
      <c r="AC59" s="8">
        <v>1</v>
      </c>
      <c r="AD59" s="8">
        <v>1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62" t="s">
        <v>49</v>
      </c>
      <c r="AL59" s="62" t="s">
        <v>50</v>
      </c>
      <c r="AM59" s="62" t="s">
        <v>77</v>
      </c>
      <c r="AN59" s="5"/>
      <c r="AO59" s="7"/>
    </row>
    <row r="60" spans="1:41" ht="15.75" customHeight="1" x14ac:dyDescent="0.25">
      <c r="A60" s="4">
        <v>59</v>
      </c>
      <c r="B60" s="5" t="s">
        <v>39</v>
      </c>
      <c r="C60" s="58">
        <v>4.0999999999999996</v>
      </c>
      <c r="D60" s="61" t="s">
        <v>94</v>
      </c>
      <c r="E60" s="72" t="s">
        <v>55</v>
      </c>
      <c r="F60" s="62" t="s">
        <v>55</v>
      </c>
      <c r="G60" s="8" t="s">
        <v>43</v>
      </c>
      <c r="H60" s="8">
        <v>2008</v>
      </c>
      <c r="I60" s="62" t="s">
        <v>44</v>
      </c>
      <c r="J60" s="62" t="s">
        <v>95</v>
      </c>
      <c r="K60" s="62" t="s">
        <v>96</v>
      </c>
      <c r="L60" s="62" t="s">
        <v>83</v>
      </c>
      <c r="M60" s="62" t="s">
        <v>47</v>
      </c>
      <c r="N60" s="5">
        <v>0</v>
      </c>
      <c r="O60" s="8">
        <v>0</v>
      </c>
      <c r="P60" s="69">
        <v>54000</v>
      </c>
      <c r="Q60" s="69">
        <v>93000</v>
      </c>
      <c r="R60" s="69">
        <v>73500</v>
      </c>
      <c r="S60" s="62" t="s">
        <v>61</v>
      </c>
      <c r="T60" s="8">
        <f t="shared" si="2"/>
        <v>15</v>
      </c>
      <c r="U60" s="8">
        <v>0</v>
      </c>
      <c r="V60" s="8">
        <v>0</v>
      </c>
      <c r="W60" s="8">
        <v>0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62" t="s">
        <v>49</v>
      </c>
      <c r="AL60" s="62" t="s">
        <v>50</v>
      </c>
      <c r="AM60" s="62" t="s">
        <v>77</v>
      </c>
      <c r="AN60" s="5"/>
      <c r="AO60" s="7"/>
    </row>
    <row r="61" spans="1:41" ht="15.75" customHeight="1" x14ac:dyDescent="0.25">
      <c r="A61" s="4">
        <v>60</v>
      </c>
      <c r="B61" s="5" t="s">
        <v>39</v>
      </c>
      <c r="C61" s="58">
        <v>3.4</v>
      </c>
      <c r="D61" s="61" t="s">
        <v>86</v>
      </c>
      <c r="E61" s="72" t="s">
        <v>87</v>
      </c>
      <c r="F61" s="62" t="s">
        <v>87</v>
      </c>
      <c r="G61" s="8" t="s">
        <v>88</v>
      </c>
      <c r="H61" s="8">
        <v>2000</v>
      </c>
      <c r="I61" s="62" t="s">
        <v>89</v>
      </c>
      <c r="J61" s="62" t="s">
        <v>90</v>
      </c>
      <c r="K61" s="62" t="s">
        <v>90</v>
      </c>
      <c r="L61" s="62" t="s">
        <v>91</v>
      </c>
      <c r="M61" s="62" t="s">
        <v>92</v>
      </c>
      <c r="N61" s="5">
        <v>0</v>
      </c>
      <c r="O61" s="8">
        <v>0</v>
      </c>
      <c r="P61" s="69">
        <v>71000</v>
      </c>
      <c r="Q61" s="69">
        <v>119000</v>
      </c>
      <c r="R61" s="69">
        <v>95000</v>
      </c>
      <c r="S61" s="62" t="s">
        <v>93</v>
      </c>
      <c r="T61" s="8">
        <f t="shared" si="2"/>
        <v>23</v>
      </c>
      <c r="U61" s="8">
        <v>1</v>
      </c>
      <c r="V61" s="8">
        <v>0</v>
      </c>
      <c r="W61" s="8">
        <v>1</v>
      </c>
      <c r="X61" s="8">
        <v>1</v>
      </c>
      <c r="Y61" s="8">
        <v>1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1</v>
      </c>
      <c r="AH61" s="8">
        <v>0</v>
      </c>
      <c r="AI61" s="8">
        <v>1</v>
      </c>
      <c r="AJ61" s="8">
        <v>0</v>
      </c>
      <c r="AK61" s="62" t="s">
        <v>49</v>
      </c>
      <c r="AL61" s="62" t="s">
        <v>50</v>
      </c>
      <c r="AM61" s="62" t="s">
        <v>77</v>
      </c>
      <c r="AN61" s="5"/>
      <c r="AO61" s="7"/>
    </row>
    <row r="62" spans="1:41" ht="15.75" customHeight="1" x14ac:dyDescent="0.25">
      <c r="A62" s="4">
        <v>61</v>
      </c>
      <c r="B62" s="5" t="s">
        <v>220</v>
      </c>
      <c r="C62" s="58">
        <v>4.4000000000000004</v>
      </c>
      <c r="D62" s="61" t="s">
        <v>289</v>
      </c>
      <c r="E62" s="72" t="s">
        <v>290</v>
      </c>
      <c r="F62" s="62" t="s">
        <v>290</v>
      </c>
      <c r="G62" s="8" t="s">
        <v>88</v>
      </c>
      <c r="H62" s="8">
        <v>1885</v>
      </c>
      <c r="I62" s="62" t="s">
        <v>142</v>
      </c>
      <c r="J62" s="62" t="s">
        <v>291</v>
      </c>
      <c r="K62" s="62" t="s">
        <v>292</v>
      </c>
      <c r="L62" s="62" t="s">
        <v>83</v>
      </c>
      <c r="M62" s="62" t="s">
        <v>47</v>
      </c>
      <c r="N62" s="5">
        <v>0</v>
      </c>
      <c r="O62" s="8">
        <v>0</v>
      </c>
      <c r="P62" s="69">
        <v>82000</v>
      </c>
      <c r="Q62" s="69">
        <v>132000</v>
      </c>
      <c r="R62" s="69">
        <v>107000</v>
      </c>
      <c r="S62" s="62" t="s">
        <v>258</v>
      </c>
      <c r="T62" s="8">
        <f t="shared" si="2"/>
        <v>138</v>
      </c>
      <c r="U62" s="8">
        <v>1</v>
      </c>
      <c r="V62" s="8">
        <v>0</v>
      </c>
      <c r="W62" s="8">
        <v>1</v>
      </c>
      <c r="X62" s="8">
        <v>0</v>
      </c>
      <c r="Y62" s="8">
        <v>1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1</v>
      </c>
      <c r="AG62" s="8">
        <v>1</v>
      </c>
      <c r="AH62" s="8">
        <v>0</v>
      </c>
      <c r="AI62" s="8">
        <v>0</v>
      </c>
      <c r="AJ62" s="8">
        <v>0</v>
      </c>
      <c r="AK62" s="62" t="s">
        <v>49</v>
      </c>
      <c r="AL62" s="62" t="s">
        <v>169</v>
      </c>
      <c r="AM62" s="62" t="s">
        <v>51</v>
      </c>
      <c r="AN62" s="5"/>
      <c r="AO62" s="7"/>
    </row>
    <row r="63" spans="1:41" ht="15.75" customHeight="1" x14ac:dyDescent="0.25">
      <c r="A63" s="4">
        <v>62</v>
      </c>
      <c r="B63" s="5" t="s">
        <v>39</v>
      </c>
      <c r="C63" s="58">
        <v>4.3</v>
      </c>
      <c r="D63" s="61" t="s">
        <v>293</v>
      </c>
      <c r="E63" s="72" t="s">
        <v>79</v>
      </c>
      <c r="F63" s="62" t="s">
        <v>80</v>
      </c>
      <c r="G63" s="8" t="s">
        <v>88</v>
      </c>
      <c r="H63" s="8">
        <v>2011</v>
      </c>
      <c r="I63" s="62" t="s">
        <v>44</v>
      </c>
      <c r="J63" s="62" t="s">
        <v>100</v>
      </c>
      <c r="K63" s="62" t="s">
        <v>65</v>
      </c>
      <c r="L63" s="62" t="s">
        <v>180</v>
      </c>
      <c r="M63" s="62" t="s">
        <v>47</v>
      </c>
      <c r="N63" s="5">
        <v>0</v>
      </c>
      <c r="O63" s="8">
        <v>0</v>
      </c>
      <c r="P63" s="69">
        <v>84000</v>
      </c>
      <c r="Q63" s="69">
        <v>146000</v>
      </c>
      <c r="R63" s="69">
        <v>115000</v>
      </c>
      <c r="S63" s="62" t="s">
        <v>85</v>
      </c>
      <c r="T63" s="8">
        <f t="shared" si="2"/>
        <v>12</v>
      </c>
      <c r="U63" s="8">
        <v>1</v>
      </c>
      <c r="V63" s="8">
        <v>1</v>
      </c>
      <c r="W63" s="8">
        <v>1</v>
      </c>
      <c r="X63" s="8">
        <v>0</v>
      </c>
      <c r="Y63" s="8">
        <v>1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0</v>
      </c>
      <c r="AH63" s="8">
        <v>0</v>
      </c>
      <c r="AI63" s="8">
        <v>0</v>
      </c>
      <c r="AJ63" s="8">
        <v>0</v>
      </c>
      <c r="AK63" s="62" t="s">
        <v>49</v>
      </c>
      <c r="AL63" s="62" t="s">
        <v>50</v>
      </c>
      <c r="AM63" s="62" t="s">
        <v>77</v>
      </c>
      <c r="AN63" s="5"/>
      <c r="AO63" s="7"/>
    </row>
    <row r="64" spans="1:41" ht="15.75" customHeight="1" x14ac:dyDescent="0.25">
      <c r="A64" s="4">
        <v>63</v>
      </c>
      <c r="B64" s="5" t="s">
        <v>294</v>
      </c>
      <c r="C64" s="58">
        <v>3.8</v>
      </c>
      <c r="D64" s="61" t="s">
        <v>295</v>
      </c>
      <c r="E64" s="72" t="s">
        <v>296</v>
      </c>
      <c r="F64" s="62" t="s">
        <v>297</v>
      </c>
      <c r="G64" s="8" t="s">
        <v>43</v>
      </c>
      <c r="H64" s="8">
        <v>2006</v>
      </c>
      <c r="I64" s="62" t="s">
        <v>89</v>
      </c>
      <c r="J64" s="62" t="s">
        <v>298</v>
      </c>
      <c r="K64" s="62" t="s">
        <v>96</v>
      </c>
      <c r="L64" s="62" t="s">
        <v>46</v>
      </c>
      <c r="M64" s="62" t="s">
        <v>47</v>
      </c>
      <c r="N64" s="5">
        <v>0</v>
      </c>
      <c r="O64" s="8">
        <v>0</v>
      </c>
      <c r="P64" s="69">
        <v>107000</v>
      </c>
      <c r="Q64" s="69">
        <v>172000</v>
      </c>
      <c r="R64" s="69">
        <v>139500</v>
      </c>
      <c r="S64" s="62" t="s">
        <v>102</v>
      </c>
      <c r="T64" s="8">
        <f t="shared" si="2"/>
        <v>17</v>
      </c>
      <c r="U64" s="8">
        <v>0</v>
      </c>
      <c r="V64" s="8">
        <v>0</v>
      </c>
      <c r="W64" s="8">
        <v>0</v>
      </c>
      <c r="X64" s="8">
        <v>0</v>
      </c>
      <c r="Y64" s="8">
        <v>1</v>
      </c>
      <c r="Z64" s="8">
        <v>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62" t="s">
        <v>49</v>
      </c>
      <c r="AL64" s="62" t="s">
        <v>169</v>
      </c>
      <c r="AM64" s="62" t="s">
        <v>51</v>
      </c>
      <c r="AN64" s="5"/>
      <c r="AO64" s="7"/>
    </row>
    <row r="65" spans="1:41" ht="15.75" customHeight="1" x14ac:dyDescent="0.25">
      <c r="A65" s="4">
        <v>64</v>
      </c>
      <c r="B65" s="5" t="s">
        <v>299</v>
      </c>
      <c r="C65" s="58">
        <v>3.8</v>
      </c>
      <c r="D65" s="61" t="s">
        <v>300</v>
      </c>
      <c r="E65" s="72" t="s">
        <v>69</v>
      </c>
      <c r="F65" s="62" t="s">
        <v>69</v>
      </c>
      <c r="G65" s="8" t="s">
        <v>70</v>
      </c>
      <c r="H65" s="8">
        <v>1965</v>
      </c>
      <c r="I65" s="62" t="s">
        <v>71</v>
      </c>
      <c r="J65" s="62" t="s">
        <v>72</v>
      </c>
      <c r="K65" s="62" t="s">
        <v>73</v>
      </c>
      <c r="L65" s="62" t="s">
        <v>74</v>
      </c>
      <c r="M65" s="62" t="s">
        <v>75</v>
      </c>
      <c r="N65" s="5">
        <v>0</v>
      </c>
      <c r="O65" s="8">
        <v>0</v>
      </c>
      <c r="P65" s="69">
        <v>49000</v>
      </c>
      <c r="Q65" s="69">
        <v>85000</v>
      </c>
      <c r="R65" s="69">
        <v>67000</v>
      </c>
      <c r="S65" s="62" t="s">
        <v>76</v>
      </c>
      <c r="T65" s="8">
        <f t="shared" si="2"/>
        <v>58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0</v>
      </c>
      <c r="AD65" s="8">
        <v>1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62" t="s">
        <v>49</v>
      </c>
      <c r="AL65" s="62" t="s">
        <v>50</v>
      </c>
      <c r="AM65" s="62" t="s">
        <v>51</v>
      </c>
      <c r="AN65" s="5"/>
      <c r="AO65" s="7"/>
    </row>
    <row r="66" spans="1:41" ht="15.75" customHeight="1" x14ac:dyDescent="0.25">
      <c r="A66" s="4">
        <v>65</v>
      </c>
      <c r="B66" s="5" t="s">
        <v>39</v>
      </c>
      <c r="C66" s="58">
        <v>3.8</v>
      </c>
      <c r="D66" s="61" t="s">
        <v>301</v>
      </c>
      <c r="E66" s="72" t="s">
        <v>302</v>
      </c>
      <c r="F66" s="62" t="s">
        <v>302</v>
      </c>
      <c r="G66" s="8" t="s">
        <v>56</v>
      </c>
      <c r="H66" s="8">
        <v>1948</v>
      </c>
      <c r="I66" s="62" t="s">
        <v>89</v>
      </c>
      <c r="J66" s="62" t="s">
        <v>303</v>
      </c>
      <c r="K66" s="62" t="s">
        <v>116</v>
      </c>
      <c r="L66" s="62" t="s">
        <v>194</v>
      </c>
      <c r="M66" s="62" t="s">
        <v>304</v>
      </c>
      <c r="N66" s="5">
        <v>0</v>
      </c>
      <c r="O66" s="8">
        <v>0</v>
      </c>
      <c r="P66" s="69">
        <v>61000</v>
      </c>
      <c r="Q66" s="69">
        <v>109000</v>
      </c>
      <c r="R66" s="69">
        <v>85000</v>
      </c>
      <c r="S66" s="62" t="s">
        <v>305</v>
      </c>
      <c r="T66" s="8">
        <f t="shared" si="2"/>
        <v>75</v>
      </c>
      <c r="U66" s="8">
        <v>1</v>
      </c>
      <c r="V66" s="8">
        <v>0</v>
      </c>
      <c r="W66" s="8">
        <v>0</v>
      </c>
      <c r="X66" s="8">
        <v>0</v>
      </c>
      <c r="Y66" s="8">
        <v>1</v>
      </c>
      <c r="Z66" s="8">
        <v>0</v>
      </c>
      <c r="AA66" s="8">
        <v>0</v>
      </c>
      <c r="AB66" s="8">
        <v>1</v>
      </c>
      <c r="AC66" s="8">
        <v>0</v>
      </c>
      <c r="AD66" s="8">
        <v>1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62" t="s">
        <v>49</v>
      </c>
      <c r="AL66" s="62" t="s">
        <v>50</v>
      </c>
      <c r="AM66" s="62" t="s">
        <v>51</v>
      </c>
      <c r="AN66" s="5"/>
      <c r="AO66" s="7"/>
    </row>
    <row r="67" spans="1:41" ht="15.75" customHeight="1" x14ac:dyDescent="0.25">
      <c r="A67" s="4">
        <v>66</v>
      </c>
      <c r="B67" s="5" t="s">
        <v>39</v>
      </c>
      <c r="C67" s="58">
        <v>2.8</v>
      </c>
      <c r="D67" s="61" t="s">
        <v>306</v>
      </c>
      <c r="E67" s="72" t="s">
        <v>307</v>
      </c>
      <c r="F67" s="62" t="s">
        <v>307</v>
      </c>
      <c r="G67" s="8" t="s">
        <v>81</v>
      </c>
      <c r="H67" s="8">
        <v>2006</v>
      </c>
      <c r="I67" s="62" t="s">
        <v>44</v>
      </c>
      <c r="J67" s="62" t="s">
        <v>136</v>
      </c>
      <c r="K67" s="62" t="s">
        <v>136</v>
      </c>
      <c r="L67" s="62" t="s">
        <v>149</v>
      </c>
      <c r="M67" s="62" t="s">
        <v>47</v>
      </c>
      <c r="N67" s="5">
        <v>0</v>
      </c>
      <c r="O67" s="8">
        <v>0</v>
      </c>
      <c r="P67" s="69">
        <v>88000</v>
      </c>
      <c r="Q67" s="69">
        <v>148000</v>
      </c>
      <c r="R67" s="69">
        <v>118000</v>
      </c>
      <c r="S67" s="62" t="s">
        <v>138</v>
      </c>
      <c r="T67" s="8">
        <f t="shared" si="2"/>
        <v>17</v>
      </c>
      <c r="U67" s="8">
        <v>1</v>
      </c>
      <c r="V67" s="8">
        <v>0</v>
      </c>
      <c r="W67" s="8">
        <v>0</v>
      </c>
      <c r="X67" s="8">
        <v>1</v>
      </c>
      <c r="Y67" s="8">
        <v>1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62" t="s">
        <v>49</v>
      </c>
      <c r="AL67" s="62" t="s">
        <v>50</v>
      </c>
      <c r="AM67" s="62" t="s">
        <v>108</v>
      </c>
      <c r="AN67" s="5"/>
      <c r="AO67" s="7"/>
    </row>
    <row r="68" spans="1:41" ht="15.75" customHeight="1" x14ac:dyDescent="0.25">
      <c r="A68" s="4">
        <v>67</v>
      </c>
      <c r="B68" s="5" t="s">
        <v>39</v>
      </c>
      <c r="C68" s="58">
        <v>4.7</v>
      </c>
      <c r="D68" s="61" t="s">
        <v>308</v>
      </c>
      <c r="E68" s="72" t="s">
        <v>309</v>
      </c>
      <c r="F68" s="62" t="s">
        <v>309</v>
      </c>
      <c r="G68" s="8" t="s">
        <v>81</v>
      </c>
      <c r="H68" s="8">
        <v>2003</v>
      </c>
      <c r="I68" s="62" t="s">
        <v>44</v>
      </c>
      <c r="J68" s="62" t="s">
        <v>216</v>
      </c>
      <c r="K68" s="62" t="s">
        <v>111</v>
      </c>
      <c r="L68" s="62" t="s">
        <v>101</v>
      </c>
      <c r="M68" s="62" t="s">
        <v>47</v>
      </c>
      <c r="N68" s="5">
        <v>0</v>
      </c>
      <c r="O68" s="8">
        <v>0</v>
      </c>
      <c r="P68" s="69">
        <v>60000</v>
      </c>
      <c r="Q68" s="69">
        <v>99000</v>
      </c>
      <c r="R68" s="69">
        <v>79500</v>
      </c>
      <c r="S68" s="62" t="s">
        <v>310</v>
      </c>
      <c r="T68" s="8">
        <f t="shared" si="2"/>
        <v>20</v>
      </c>
      <c r="U68" s="8">
        <v>1</v>
      </c>
      <c r="V68" s="8">
        <v>0</v>
      </c>
      <c r="W68" s="8">
        <v>0</v>
      </c>
      <c r="X68" s="8">
        <v>1</v>
      </c>
      <c r="Y68" s="8">
        <v>1</v>
      </c>
      <c r="Z68" s="8">
        <v>0</v>
      </c>
      <c r="AA68" s="8">
        <v>1</v>
      </c>
      <c r="AB68" s="8">
        <v>1</v>
      </c>
      <c r="AC68" s="8">
        <v>1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62" t="s">
        <v>49</v>
      </c>
      <c r="AL68" s="62" t="s">
        <v>50</v>
      </c>
      <c r="AM68" s="62" t="s">
        <v>77</v>
      </c>
      <c r="AN68" s="5"/>
      <c r="AO68" s="7"/>
    </row>
    <row r="69" spans="1:41" ht="15.75" customHeight="1" x14ac:dyDescent="0.25">
      <c r="A69" s="4">
        <v>68</v>
      </c>
      <c r="B69" s="5" t="s">
        <v>311</v>
      </c>
      <c r="C69" s="58">
        <v>3.1</v>
      </c>
      <c r="D69" s="61" t="s">
        <v>312</v>
      </c>
      <c r="E69" s="72" t="s">
        <v>269</v>
      </c>
      <c r="F69" s="62" t="s">
        <v>269</v>
      </c>
      <c r="G69" s="8" t="s">
        <v>88</v>
      </c>
      <c r="H69" s="8">
        <v>1999</v>
      </c>
      <c r="I69" s="62" t="s">
        <v>89</v>
      </c>
      <c r="J69" s="62" t="s">
        <v>82</v>
      </c>
      <c r="K69" s="62" t="s">
        <v>65</v>
      </c>
      <c r="L69" s="62" t="s">
        <v>66</v>
      </c>
      <c r="M69" s="62" t="s">
        <v>313</v>
      </c>
      <c r="N69" s="5">
        <v>0</v>
      </c>
      <c r="O69" s="8">
        <v>0</v>
      </c>
      <c r="P69" s="69">
        <v>41000</v>
      </c>
      <c r="Q69" s="69">
        <v>72000</v>
      </c>
      <c r="R69" s="69">
        <v>56500</v>
      </c>
      <c r="S69" s="62" t="s">
        <v>138</v>
      </c>
      <c r="T69" s="8">
        <f t="shared" si="2"/>
        <v>24</v>
      </c>
      <c r="U69" s="8">
        <v>1</v>
      </c>
      <c r="V69" s="8">
        <v>0</v>
      </c>
      <c r="W69" s="8">
        <v>0</v>
      </c>
      <c r="X69" s="8">
        <v>0</v>
      </c>
      <c r="Y69" s="8">
        <v>1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1</v>
      </c>
      <c r="AG69" s="8">
        <v>0</v>
      </c>
      <c r="AH69" s="8">
        <v>0</v>
      </c>
      <c r="AI69" s="8">
        <v>0</v>
      </c>
      <c r="AJ69" s="8">
        <v>0</v>
      </c>
      <c r="AK69" s="62" t="s">
        <v>49</v>
      </c>
      <c r="AL69" s="62" t="s">
        <v>50</v>
      </c>
      <c r="AM69" s="62" t="s">
        <v>77</v>
      </c>
      <c r="AN69" s="5"/>
      <c r="AO69" s="7"/>
    </row>
    <row r="70" spans="1:41" ht="15.75" customHeight="1" x14ac:dyDescent="0.25">
      <c r="A70" s="4">
        <v>69</v>
      </c>
      <c r="B70" s="5" t="s">
        <v>39</v>
      </c>
      <c r="C70" s="58">
        <v>3.2</v>
      </c>
      <c r="D70" s="61" t="s">
        <v>314</v>
      </c>
      <c r="E70" s="72" t="s">
        <v>315</v>
      </c>
      <c r="F70" s="62" t="s">
        <v>316</v>
      </c>
      <c r="G70" s="8">
        <v>500</v>
      </c>
      <c r="H70" s="8" t="s">
        <v>47</v>
      </c>
      <c r="I70" s="62" t="s">
        <v>44</v>
      </c>
      <c r="J70" s="62" t="s">
        <v>317</v>
      </c>
      <c r="K70" s="62" t="s">
        <v>65</v>
      </c>
      <c r="L70" s="62" t="s">
        <v>318</v>
      </c>
      <c r="M70" s="62" t="s">
        <v>47</v>
      </c>
      <c r="N70" s="5">
        <v>0</v>
      </c>
      <c r="O70" s="8">
        <v>0</v>
      </c>
      <c r="P70" s="69">
        <v>96000</v>
      </c>
      <c r="Q70" s="69">
        <v>161000</v>
      </c>
      <c r="R70" s="69">
        <v>128500</v>
      </c>
      <c r="S70" s="62" t="s">
        <v>305</v>
      </c>
      <c r="T70" s="8" t="s">
        <v>47</v>
      </c>
      <c r="U70" s="8">
        <v>1</v>
      </c>
      <c r="V70" s="8">
        <v>1</v>
      </c>
      <c r="W70" s="8">
        <v>1</v>
      </c>
      <c r="X70" s="8">
        <v>0</v>
      </c>
      <c r="Y70" s="8">
        <v>1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62" t="s">
        <v>49</v>
      </c>
      <c r="AL70" s="62" t="s">
        <v>50</v>
      </c>
      <c r="AM70" s="62" t="s">
        <v>77</v>
      </c>
      <c r="AN70" s="5"/>
      <c r="AO70" s="7"/>
    </row>
    <row r="71" spans="1:41" ht="15.75" customHeight="1" x14ac:dyDescent="0.25">
      <c r="A71" s="4">
        <v>70</v>
      </c>
      <c r="B71" s="5" t="s">
        <v>319</v>
      </c>
      <c r="C71" s="58">
        <v>4</v>
      </c>
      <c r="D71" s="61" t="s">
        <v>320</v>
      </c>
      <c r="E71" s="72" t="s">
        <v>321</v>
      </c>
      <c r="F71" s="62" t="s">
        <v>297</v>
      </c>
      <c r="G71" s="8" t="s">
        <v>56</v>
      </c>
      <c r="H71" s="8">
        <v>1939</v>
      </c>
      <c r="I71" s="62" t="s">
        <v>89</v>
      </c>
      <c r="J71" s="62" t="s">
        <v>216</v>
      </c>
      <c r="K71" s="62" t="s">
        <v>111</v>
      </c>
      <c r="L71" s="62" t="s">
        <v>83</v>
      </c>
      <c r="M71" s="62" t="s">
        <v>47</v>
      </c>
      <c r="N71" s="5">
        <v>0</v>
      </c>
      <c r="O71" s="8">
        <v>0</v>
      </c>
      <c r="P71" s="69">
        <v>65000</v>
      </c>
      <c r="Q71" s="69">
        <v>130000</v>
      </c>
      <c r="R71" s="69">
        <v>97500</v>
      </c>
      <c r="S71" s="62" t="s">
        <v>76</v>
      </c>
      <c r="T71" s="8">
        <f t="shared" ref="T71:T142" si="3">2023-H71</f>
        <v>84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62" t="s">
        <v>107</v>
      </c>
      <c r="AL71" s="62" t="s">
        <v>50</v>
      </c>
      <c r="AM71" s="62" t="s">
        <v>51</v>
      </c>
      <c r="AN71" s="5"/>
      <c r="AO71" s="7"/>
    </row>
    <row r="72" spans="1:41" ht="15.75" customHeight="1" x14ac:dyDescent="0.25">
      <c r="A72" s="4">
        <v>71</v>
      </c>
      <c r="B72" s="5" t="s">
        <v>322</v>
      </c>
      <c r="C72" s="58">
        <v>4.4000000000000004</v>
      </c>
      <c r="D72" s="61" t="s">
        <v>323</v>
      </c>
      <c r="E72" s="72" t="s">
        <v>324</v>
      </c>
      <c r="F72" s="62" t="s">
        <v>325</v>
      </c>
      <c r="G72" s="8">
        <v>500</v>
      </c>
      <c r="H72" s="8">
        <v>2015</v>
      </c>
      <c r="I72" s="62" t="s">
        <v>44</v>
      </c>
      <c r="J72" s="62" t="s">
        <v>155</v>
      </c>
      <c r="K72" s="62" t="s">
        <v>111</v>
      </c>
      <c r="L72" s="62" t="s">
        <v>83</v>
      </c>
      <c r="M72" s="62" t="s">
        <v>47</v>
      </c>
      <c r="N72" s="5">
        <v>0</v>
      </c>
      <c r="O72" s="8">
        <v>0</v>
      </c>
      <c r="P72" s="69">
        <v>52000</v>
      </c>
      <c r="Q72" s="69">
        <v>81000</v>
      </c>
      <c r="R72" s="69">
        <v>66500</v>
      </c>
      <c r="S72" s="62" t="s">
        <v>326</v>
      </c>
      <c r="T72" s="8">
        <f t="shared" si="3"/>
        <v>8</v>
      </c>
      <c r="U72" s="8">
        <v>1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1</v>
      </c>
      <c r="AG72" s="8">
        <v>0</v>
      </c>
      <c r="AH72" s="8">
        <v>0</v>
      </c>
      <c r="AI72" s="8">
        <v>0</v>
      </c>
      <c r="AJ72" s="8">
        <v>0</v>
      </c>
      <c r="AK72" s="62" t="s">
        <v>1291</v>
      </c>
      <c r="AL72" s="62" t="s">
        <v>50</v>
      </c>
      <c r="AM72" s="62" t="s">
        <v>77</v>
      </c>
      <c r="AN72" s="5"/>
      <c r="AO72" s="7"/>
    </row>
    <row r="73" spans="1:41" ht="15.75" customHeight="1" x14ac:dyDescent="0.25">
      <c r="A73" s="4">
        <v>72</v>
      </c>
      <c r="B73" s="5" t="s">
        <v>328</v>
      </c>
      <c r="C73" s="58">
        <v>3.6</v>
      </c>
      <c r="D73" s="61" t="s">
        <v>329</v>
      </c>
      <c r="E73" s="72" t="s">
        <v>330</v>
      </c>
      <c r="F73" s="62" t="s">
        <v>331</v>
      </c>
      <c r="G73" s="8" t="s">
        <v>56</v>
      </c>
      <c r="H73" s="8">
        <v>1927</v>
      </c>
      <c r="I73" s="62" t="s">
        <v>89</v>
      </c>
      <c r="J73" s="62" t="s">
        <v>332</v>
      </c>
      <c r="K73" s="62" t="s">
        <v>65</v>
      </c>
      <c r="L73" s="62" t="s">
        <v>128</v>
      </c>
      <c r="M73" s="62" t="s">
        <v>47</v>
      </c>
      <c r="N73" s="5">
        <v>0</v>
      </c>
      <c r="O73" s="8">
        <v>0</v>
      </c>
      <c r="P73" s="69">
        <v>139000</v>
      </c>
      <c r="Q73" s="69">
        <v>220000</v>
      </c>
      <c r="R73" s="69">
        <v>179500</v>
      </c>
      <c r="S73" s="62" t="s">
        <v>176</v>
      </c>
      <c r="T73" s="8">
        <f t="shared" si="3"/>
        <v>96</v>
      </c>
      <c r="U73" s="8">
        <v>1</v>
      </c>
      <c r="V73" s="8">
        <v>0</v>
      </c>
      <c r="W73" s="8">
        <v>0</v>
      </c>
      <c r="X73" s="8">
        <v>1</v>
      </c>
      <c r="Y73" s="8">
        <v>1</v>
      </c>
      <c r="Z73" s="8">
        <v>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62" t="s">
        <v>49</v>
      </c>
      <c r="AL73" s="62" t="s">
        <v>50</v>
      </c>
      <c r="AM73" s="62" t="s">
        <v>51</v>
      </c>
      <c r="AN73" s="5"/>
      <c r="AO73" s="7"/>
    </row>
    <row r="74" spans="1:41" ht="15.75" customHeight="1" x14ac:dyDescent="0.25">
      <c r="A74" s="4">
        <v>73</v>
      </c>
      <c r="B74" s="5" t="s">
        <v>235</v>
      </c>
      <c r="C74" s="58">
        <v>2.7</v>
      </c>
      <c r="D74" s="61" t="s">
        <v>333</v>
      </c>
      <c r="E74" s="72" t="s">
        <v>334</v>
      </c>
      <c r="F74" s="62" t="s">
        <v>335</v>
      </c>
      <c r="G74" s="8" t="s">
        <v>43</v>
      </c>
      <c r="H74" s="8">
        <v>1978</v>
      </c>
      <c r="I74" s="62" t="s">
        <v>142</v>
      </c>
      <c r="J74" s="62" t="s">
        <v>121</v>
      </c>
      <c r="K74" s="62" t="s">
        <v>65</v>
      </c>
      <c r="L74" s="62" t="s">
        <v>46</v>
      </c>
      <c r="M74" s="62" t="s">
        <v>47</v>
      </c>
      <c r="N74" s="5">
        <v>0</v>
      </c>
      <c r="O74" s="8">
        <v>0</v>
      </c>
      <c r="P74" s="69">
        <v>50000</v>
      </c>
      <c r="Q74" s="69">
        <v>102000</v>
      </c>
      <c r="R74" s="69">
        <v>76000</v>
      </c>
      <c r="S74" s="62" t="s">
        <v>288</v>
      </c>
      <c r="T74" s="8">
        <f t="shared" si="3"/>
        <v>45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62" t="s">
        <v>107</v>
      </c>
      <c r="AL74" s="62" t="s">
        <v>50</v>
      </c>
      <c r="AM74" s="62" t="s">
        <v>108</v>
      </c>
      <c r="AN74" s="5"/>
      <c r="AO74" s="7"/>
    </row>
    <row r="75" spans="1:41" ht="15.75" customHeight="1" x14ac:dyDescent="0.25">
      <c r="A75" s="4">
        <v>74</v>
      </c>
      <c r="B75" s="5" t="s">
        <v>336</v>
      </c>
      <c r="C75" s="58">
        <v>3.9</v>
      </c>
      <c r="D75" s="61" t="s">
        <v>337</v>
      </c>
      <c r="E75" s="72" t="s">
        <v>338</v>
      </c>
      <c r="F75" s="62" t="s">
        <v>339</v>
      </c>
      <c r="G75" s="8" t="s">
        <v>43</v>
      </c>
      <c r="H75" s="8">
        <v>2010</v>
      </c>
      <c r="I75" s="62" t="s">
        <v>44</v>
      </c>
      <c r="J75" s="62" t="s">
        <v>213</v>
      </c>
      <c r="K75" s="62" t="s">
        <v>111</v>
      </c>
      <c r="L75" s="62" t="s">
        <v>66</v>
      </c>
      <c r="M75" s="62" t="s">
        <v>340</v>
      </c>
      <c r="N75" s="5">
        <v>0</v>
      </c>
      <c r="O75" s="8">
        <v>0</v>
      </c>
      <c r="P75" s="69">
        <v>85000</v>
      </c>
      <c r="Q75" s="69">
        <v>139000</v>
      </c>
      <c r="R75" s="69">
        <v>112000</v>
      </c>
      <c r="S75" s="62" t="s">
        <v>122</v>
      </c>
      <c r="T75" s="8">
        <f t="shared" si="3"/>
        <v>13</v>
      </c>
      <c r="U75" s="8">
        <v>1</v>
      </c>
      <c r="V75" s="8">
        <v>1</v>
      </c>
      <c r="W75" s="8">
        <v>0</v>
      </c>
      <c r="X75" s="8">
        <v>0</v>
      </c>
      <c r="Y75" s="8">
        <v>1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1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62" t="s">
        <v>49</v>
      </c>
      <c r="AL75" s="62" t="s">
        <v>169</v>
      </c>
      <c r="AM75" s="62" t="s">
        <v>51</v>
      </c>
      <c r="AN75" s="5"/>
      <c r="AO75" s="7"/>
    </row>
    <row r="76" spans="1:41" ht="15.75" customHeight="1" x14ac:dyDescent="0.25">
      <c r="A76" s="4">
        <v>75</v>
      </c>
      <c r="B76" s="5" t="s">
        <v>39</v>
      </c>
      <c r="C76" s="58">
        <v>3.1</v>
      </c>
      <c r="D76" s="61" t="s">
        <v>341</v>
      </c>
      <c r="E76" s="72" t="s">
        <v>342</v>
      </c>
      <c r="F76" s="62" t="s">
        <v>343</v>
      </c>
      <c r="G76" s="8" t="s">
        <v>70</v>
      </c>
      <c r="H76" s="8">
        <v>1860</v>
      </c>
      <c r="I76" s="62" t="s">
        <v>44</v>
      </c>
      <c r="J76" s="62" t="s">
        <v>344</v>
      </c>
      <c r="K76" s="62" t="s">
        <v>292</v>
      </c>
      <c r="L76" s="62" t="s">
        <v>91</v>
      </c>
      <c r="M76" s="62" t="s">
        <v>345</v>
      </c>
      <c r="N76" s="5">
        <v>0</v>
      </c>
      <c r="O76" s="8">
        <v>0</v>
      </c>
      <c r="P76" s="69">
        <v>74000</v>
      </c>
      <c r="Q76" s="69">
        <v>122000</v>
      </c>
      <c r="R76" s="69">
        <v>98000</v>
      </c>
      <c r="S76" s="62" t="s">
        <v>305</v>
      </c>
      <c r="T76" s="8">
        <f t="shared" si="3"/>
        <v>163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1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62" t="s">
        <v>49</v>
      </c>
      <c r="AL76" s="62" t="s">
        <v>50</v>
      </c>
      <c r="AM76" s="62" t="s">
        <v>51</v>
      </c>
      <c r="AN76" s="5"/>
      <c r="AO76" s="7"/>
    </row>
    <row r="77" spans="1:41" ht="15.75" customHeight="1" x14ac:dyDescent="0.25">
      <c r="A77" s="4">
        <v>76</v>
      </c>
      <c r="B77" s="5" t="s">
        <v>346</v>
      </c>
      <c r="C77" s="58">
        <v>4</v>
      </c>
      <c r="D77" s="61" t="s">
        <v>320</v>
      </c>
      <c r="E77" s="72" t="s">
        <v>321</v>
      </c>
      <c r="F77" s="62" t="s">
        <v>297</v>
      </c>
      <c r="G77" s="8" t="s">
        <v>56</v>
      </c>
      <c r="H77" s="8">
        <v>1939</v>
      </c>
      <c r="I77" s="62" t="s">
        <v>89</v>
      </c>
      <c r="J77" s="62" t="s">
        <v>216</v>
      </c>
      <c r="K77" s="62" t="s">
        <v>111</v>
      </c>
      <c r="L77" s="62" t="s">
        <v>83</v>
      </c>
      <c r="M77" s="62" t="s">
        <v>47</v>
      </c>
      <c r="N77" s="5">
        <v>0</v>
      </c>
      <c r="O77" s="8">
        <v>0</v>
      </c>
      <c r="P77" s="69">
        <v>99000</v>
      </c>
      <c r="Q77" s="69">
        <v>157000</v>
      </c>
      <c r="R77" s="69">
        <v>128000</v>
      </c>
      <c r="S77" s="62" t="s">
        <v>76</v>
      </c>
      <c r="T77" s="8">
        <f t="shared" si="3"/>
        <v>84</v>
      </c>
      <c r="U77" s="8">
        <v>0</v>
      </c>
      <c r="V77" s="8">
        <v>1</v>
      </c>
      <c r="W77" s="8">
        <v>1</v>
      </c>
      <c r="X77" s="8">
        <v>0</v>
      </c>
      <c r="Y77" s="8">
        <v>1</v>
      </c>
      <c r="Z77" s="8">
        <v>0</v>
      </c>
      <c r="AA77" s="8">
        <v>0</v>
      </c>
      <c r="AB77" s="8">
        <v>0</v>
      </c>
      <c r="AC77" s="8">
        <v>1</v>
      </c>
      <c r="AD77" s="8">
        <v>1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62" t="s">
        <v>49</v>
      </c>
      <c r="AL77" s="62" t="s">
        <v>169</v>
      </c>
      <c r="AM77" s="62" t="s">
        <v>51</v>
      </c>
      <c r="AN77" s="5"/>
      <c r="AO77" s="7"/>
    </row>
    <row r="78" spans="1:41" ht="15.75" customHeight="1" x14ac:dyDescent="0.25">
      <c r="A78" s="4">
        <v>77</v>
      </c>
      <c r="B78" s="5" t="s">
        <v>347</v>
      </c>
      <c r="C78" s="58">
        <v>4.3</v>
      </c>
      <c r="D78" s="61" t="s">
        <v>152</v>
      </c>
      <c r="E78" s="72" t="s">
        <v>153</v>
      </c>
      <c r="F78" s="62" t="s">
        <v>154</v>
      </c>
      <c r="G78" s="8" t="s">
        <v>88</v>
      </c>
      <c r="H78" s="8">
        <v>2011</v>
      </c>
      <c r="I78" s="62" t="s">
        <v>44</v>
      </c>
      <c r="J78" s="62" t="s">
        <v>155</v>
      </c>
      <c r="K78" s="62" t="s">
        <v>111</v>
      </c>
      <c r="L78" s="62" t="s">
        <v>83</v>
      </c>
      <c r="M78" s="62" t="s">
        <v>47</v>
      </c>
      <c r="N78" s="5">
        <v>0</v>
      </c>
      <c r="O78" s="8">
        <v>0</v>
      </c>
      <c r="P78" s="69">
        <v>79000</v>
      </c>
      <c r="Q78" s="69">
        <v>222000</v>
      </c>
      <c r="R78" s="69">
        <v>150500</v>
      </c>
      <c r="S78" s="62" t="s">
        <v>102</v>
      </c>
      <c r="T78" s="8">
        <f t="shared" si="3"/>
        <v>12</v>
      </c>
      <c r="U78" s="8">
        <v>1</v>
      </c>
      <c r="V78" s="8">
        <v>1</v>
      </c>
      <c r="W78" s="8">
        <v>1</v>
      </c>
      <c r="X78" s="8">
        <v>1</v>
      </c>
      <c r="Y78" s="8">
        <v>0</v>
      </c>
      <c r="Z78" s="8">
        <v>0</v>
      </c>
      <c r="AA78" s="8">
        <v>1</v>
      </c>
      <c r="AB78" s="8">
        <v>0</v>
      </c>
      <c r="AC78" s="8">
        <v>1</v>
      </c>
      <c r="AD78" s="8">
        <v>1</v>
      </c>
      <c r="AE78" s="8">
        <v>1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62" t="s">
        <v>49</v>
      </c>
      <c r="AL78" s="62" t="s">
        <v>50</v>
      </c>
      <c r="AM78" s="62" t="s">
        <v>108</v>
      </c>
      <c r="AN78" s="5"/>
      <c r="AO78" s="7"/>
    </row>
    <row r="79" spans="1:41" ht="15.75" customHeight="1" x14ac:dyDescent="0.25">
      <c r="A79" s="4">
        <v>78</v>
      </c>
      <c r="B79" s="5" t="s">
        <v>103</v>
      </c>
      <c r="C79" s="58">
        <v>1.9</v>
      </c>
      <c r="D79" s="61" t="s">
        <v>348</v>
      </c>
      <c r="E79" s="72" t="s">
        <v>134</v>
      </c>
      <c r="F79" s="62" t="s">
        <v>134</v>
      </c>
      <c r="G79" s="8" t="s">
        <v>81</v>
      </c>
      <c r="H79" s="8">
        <v>2000</v>
      </c>
      <c r="I79" s="62" t="s">
        <v>44</v>
      </c>
      <c r="J79" s="62" t="s">
        <v>136</v>
      </c>
      <c r="K79" s="62" t="s">
        <v>136</v>
      </c>
      <c r="L79" s="62" t="s">
        <v>180</v>
      </c>
      <c r="M79" s="62" t="s">
        <v>47</v>
      </c>
      <c r="N79" s="5">
        <v>0</v>
      </c>
      <c r="O79" s="8">
        <v>0</v>
      </c>
      <c r="P79" s="69">
        <v>57000</v>
      </c>
      <c r="Q79" s="69">
        <v>118000</v>
      </c>
      <c r="R79" s="69">
        <v>87500</v>
      </c>
      <c r="S79" s="62" t="s">
        <v>138</v>
      </c>
      <c r="T79" s="8">
        <f t="shared" si="3"/>
        <v>23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62" t="s">
        <v>107</v>
      </c>
      <c r="AL79" s="62" t="s">
        <v>50</v>
      </c>
      <c r="AM79" s="62" t="s">
        <v>51</v>
      </c>
      <c r="AN79" s="5"/>
      <c r="AO79" s="7"/>
    </row>
    <row r="80" spans="1:41" ht="15.75" customHeight="1" x14ac:dyDescent="0.25">
      <c r="A80" s="4">
        <v>79</v>
      </c>
      <c r="B80" s="5" t="s">
        <v>39</v>
      </c>
      <c r="C80" s="58">
        <v>3.3</v>
      </c>
      <c r="D80" s="61" t="s">
        <v>349</v>
      </c>
      <c r="E80" s="72" t="s">
        <v>118</v>
      </c>
      <c r="F80" s="62" t="s">
        <v>119</v>
      </c>
      <c r="G80" s="8" t="s">
        <v>70</v>
      </c>
      <c r="H80" s="8">
        <v>2017</v>
      </c>
      <c r="I80" s="62" t="s">
        <v>44</v>
      </c>
      <c r="J80" s="62" t="s">
        <v>45</v>
      </c>
      <c r="K80" s="62" t="s">
        <v>45</v>
      </c>
      <c r="L80" s="62" t="s">
        <v>91</v>
      </c>
      <c r="M80" s="62" t="s">
        <v>47</v>
      </c>
      <c r="N80" s="5">
        <v>0</v>
      </c>
      <c r="O80" s="8">
        <v>0</v>
      </c>
      <c r="P80" s="69">
        <v>83000</v>
      </c>
      <c r="Q80" s="69">
        <v>137000</v>
      </c>
      <c r="R80" s="69">
        <v>110000</v>
      </c>
      <c r="S80" s="62" t="s">
        <v>122</v>
      </c>
      <c r="T80" s="8">
        <f t="shared" si="3"/>
        <v>6</v>
      </c>
      <c r="U80" s="8">
        <v>1</v>
      </c>
      <c r="V80" s="8">
        <v>0</v>
      </c>
      <c r="W80" s="8">
        <v>0</v>
      </c>
      <c r="X80" s="8">
        <v>1</v>
      </c>
      <c r="Y80" s="8">
        <v>0</v>
      </c>
      <c r="Z80" s="8">
        <v>0</v>
      </c>
      <c r="AA80" s="8">
        <v>0</v>
      </c>
      <c r="AB80" s="8">
        <v>0</v>
      </c>
      <c r="AC80" s="8">
        <v>1</v>
      </c>
      <c r="AD80" s="8">
        <v>0</v>
      </c>
      <c r="AE80" s="8">
        <v>1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62" t="s">
        <v>49</v>
      </c>
      <c r="AL80" s="62" t="s">
        <v>50</v>
      </c>
      <c r="AM80" s="62" t="s">
        <v>77</v>
      </c>
      <c r="AN80" s="5"/>
      <c r="AO80" s="7"/>
    </row>
    <row r="81" spans="1:41" ht="15.75" customHeight="1" x14ac:dyDescent="0.25">
      <c r="A81" s="4">
        <v>80</v>
      </c>
      <c r="B81" s="5" t="s">
        <v>39</v>
      </c>
      <c r="C81" s="58">
        <v>4.4000000000000004</v>
      </c>
      <c r="D81" s="61" t="s">
        <v>350</v>
      </c>
      <c r="E81" s="72" t="s">
        <v>98</v>
      </c>
      <c r="F81" s="62" t="s">
        <v>351</v>
      </c>
      <c r="G81" s="8" t="s">
        <v>56</v>
      </c>
      <c r="H81" s="8">
        <v>1995</v>
      </c>
      <c r="I81" s="62" t="s">
        <v>44</v>
      </c>
      <c r="J81" s="62" t="s">
        <v>213</v>
      </c>
      <c r="K81" s="62" t="s">
        <v>111</v>
      </c>
      <c r="L81" s="62" t="s">
        <v>74</v>
      </c>
      <c r="M81" s="62" t="s">
        <v>352</v>
      </c>
      <c r="N81" s="5">
        <v>0</v>
      </c>
      <c r="O81" s="8">
        <v>0</v>
      </c>
      <c r="P81" s="69">
        <v>86000</v>
      </c>
      <c r="Q81" s="69">
        <v>141000</v>
      </c>
      <c r="R81" s="69">
        <v>113500</v>
      </c>
      <c r="S81" s="62" t="s">
        <v>102</v>
      </c>
      <c r="T81" s="8">
        <f t="shared" si="3"/>
        <v>28</v>
      </c>
      <c r="U81" s="8">
        <v>1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62" t="s">
        <v>49</v>
      </c>
      <c r="AL81" s="62" t="s">
        <v>50</v>
      </c>
      <c r="AM81" s="62" t="s">
        <v>77</v>
      </c>
      <c r="AN81" s="5"/>
      <c r="AO81" s="7"/>
    </row>
    <row r="82" spans="1:41" ht="15.75" customHeight="1" x14ac:dyDescent="0.25">
      <c r="A82" s="4">
        <v>81</v>
      </c>
      <c r="B82" s="5" t="s">
        <v>39</v>
      </c>
      <c r="C82" s="58">
        <v>3.9</v>
      </c>
      <c r="D82" s="61" t="s">
        <v>353</v>
      </c>
      <c r="E82" s="72" t="s">
        <v>98</v>
      </c>
      <c r="F82" s="62" t="s">
        <v>114</v>
      </c>
      <c r="G82" s="8" t="s">
        <v>81</v>
      </c>
      <c r="H82" s="8">
        <v>2016</v>
      </c>
      <c r="I82" s="62" t="s">
        <v>44</v>
      </c>
      <c r="J82" s="62" t="s">
        <v>58</v>
      </c>
      <c r="K82" s="62" t="s">
        <v>59</v>
      </c>
      <c r="L82" s="62" t="s">
        <v>149</v>
      </c>
      <c r="M82" s="62" t="s">
        <v>47</v>
      </c>
      <c r="N82" s="5">
        <v>0</v>
      </c>
      <c r="O82" s="8">
        <v>0</v>
      </c>
      <c r="P82" s="69">
        <v>94000</v>
      </c>
      <c r="Q82" s="69">
        <v>154000</v>
      </c>
      <c r="R82" s="69">
        <v>124000</v>
      </c>
      <c r="S82" s="62" t="s">
        <v>102</v>
      </c>
      <c r="T82" s="8">
        <f t="shared" si="3"/>
        <v>7</v>
      </c>
      <c r="U82" s="8">
        <v>1</v>
      </c>
      <c r="V82" s="8">
        <v>0</v>
      </c>
      <c r="W82" s="8">
        <v>0</v>
      </c>
      <c r="X82" s="8">
        <v>0</v>
      </c>
      <c r="Y82" s="8">
        <v>1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62" t="s">
        <v>49</v>
      </c>
      <c r="AL82" s="62" t="s">
        <v>50</v>
      </c>
      <c r="AM82" s="62" t="s">
        <v>77</v>
      </c>
      <c r="AN82" s="5"/>
      <c r="AO82" s="7"/>
    </row>
    <row r="83" spans="1:41" ht="15.75" customHeight="1" x14ac:dyDescent="0.25">
      <c r="A83" s="4">
        <v>82</v>
      </c>
      <c r="B83" s="5" t="s">
        <v>354</v>
      </c>
      <c r="C83" s="58">
        <v>4.7</v>
      </c>
      <c r="D83" s="61" t="s">
        <v>355</v>
      </c>
      <c r="E83" s="72" t="s">
        <v>356</v>
      </c>
      <c r="F83" s="62" t="s">
        <v>356</v>
      </c>
      <c r="G83" s="8" t="s">
        <v>88</v>
      </c>
      <c r="H83" s="8">
        <v>1997</v>
      </c>
      <c r="I83" s="62" t="s">
        <v>44</v>
      </c>
      <c r="J83" s="62" t="s">
        <v>82</v>
      </c>
      <c r="K83" s="62" t="s">
        <v>65</v>
      </c>
      <c r="L83" s="62" t="s">
        <v>101</v>
      </c>
      <c r="M83" s="62" t="s">
        <v>47</v>
      </c>
      <c r="N83" s="5">
        <v>0</v>
      </c>
      <c r="O83" s="8">
        <v>0</v>
      </c>
      <c r="P83" s="69">
        <v>37000</v>
      </c>
      <c r="Q83" s="69">
        <v>76000</v>
      </c>
      <c r="R83" s="69">
        <v>56500</v>
      </c>
      <c r="S83" s="62" t="s">
        <v>305</v>
      </c>
      <c r="T83" s="8">
        <f t="shared" si="3"/>
        <v>26</v>
      </c>
      <c r="U83" s="8">
        <v>0</v>
      </c>
      <c r="V83" s="8">
        <v>0</v>
      </c>
      <c r="W83" s="8">
        <v>0</v>
      </c>
      <c r="X83" s="8">
        <v>1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1</v>
      </c>
      <c r="AK83" s="62" t="s">
        <v>132</v>
      </c>
      <c r="AL83" s="62" t="s">
        <v>357</v>
      </c>
      <c r="AM83" s="62" t="s">
        <v>77</v>
      </c>
      <c r="AN83" s="5"/>
      <c r="AO83" s="7"/>
    </row>
    <row r="84" spans="1:41" ht="15.75" customHeight="1" x14ac:dyDescent="0.25">
      <c r="A84" s="4">
        <v>83</v>
      </c>
      <c r="B84" s="5" t="s">
        <v>39</v>
      </c>
      <c r="C84" s="58">
        <v>4.5</v>
      </c>
      <c r="D84" s="61" t="s">
        <v>358</v>
      </c>
      <c r="E84" s="72" t="s">
        <v>359</v>
      </c>
      <c r="F84" s="62" t="s">
        <v>359</v>
      </c>
      <c r="G84" s="8" t="s">
        <v>120</v>
      </c>
      <c r="H84" s="8">
        <v>1942</v>
      </c>
      <c r="I84" s="62" t="s">
        <v>160</v>
      </c>
      <c r="J84" s="62" t="s">
        <v>45</v>
      </c>
      <c r="K84" s="62" t="s">
        <v>45</v>
      </c>
      <c r="L84" s="62" t="s">
        <v>91</v>
      </c>
      <c r="M84" s="62" t="s">
        <v>360</v>
      </c>
      <c r="N84" s="5">
        <v>0</v>
      </c>
      <c r="O84" s="8">
        <v>0</v>
      </c>
      <c r="P84" s="69">
        <v>100000</v>
      </c>
      <c r="Q84" s="69">
        <v>160000</v>
      </c>
      <c r="R84" s="69">
        <v>130000</v>
      </c>
      <c r="S84" s="62" t="s">
        <v>61</v>
      </c>
      <c r="T84" s="8">
        <f t="shared" si="3"/>
        <v>81</v>
      </c>
      <c r="U84" s="8">
        <v>1</v>
      </c>
      <c r="V84" s="8">
        <v>0</v>
      </c>
      <c r="W84" s="8">
        <v>0</v>
      </c>
      <c r="X84" s="8">
        <v>1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62" t="s">
        <v>49</v>
      </c>
      <c r="AL84" s="62" t="s">
        <v>50</v>
      </c>
      <c r="AM84" s="62" t="s">
        <v>77</v>
      </c>
      <c r="AN84" s="5"/>
      <c r="AO84" s="7"/>
    </row>
    <row r="85" spans="1:41" ht="15.75" customHeight="1" x14ac:dyDescent="0.25">
      <c r="A85" s="4">
        <v>84</v>
      </c>
      <c r="B85" s="5" t="s">
        <v>130</v>
      </c>
      <c r="C85" s="58">
        <v>4.3</v>
      </c>
      <c r="D85" s="61" t="s">
        <v>361</v>
      </c>
      <c r="E85" s="72" t="s">
        <v>172</v>
      </c>
      <c r="F85" s="62" t="s">
        <v>172</v>
      </c>
      <c r="G85" s="8" t="s">
        <v>81</v>
      </c>
      <c r="H85" s="8">
        <v>2008</v>
      </c>
      <c r="I85" s="62" t="s">
        <v>44</v>
      </c>
      <c r="J85" s="62" t="s">
        <v>216</v>
      </c>
      <c r="K85" s="62" t="s">
        <v>111</v>
      </c>
      <c r="L85" s="62" t="s">
        <v>180</v>
      </c>
      <c r="M85" s="62" t="s">
        <v>362</v>
      </c>
      <c r="N85" s="5">
        <v>0</v>
      </c>
      <c r="O85" s="8">
        <v>0</v>
      </c>
      <c r="P85" s="69">
        <v>55000</v>
      </c>
      <c r="Q85" s="69">
        <v>100000</v>
      </c>
      <c r="R85" s="69">
        <v>77500</v>
      </c>
      <c r="S85" s="62" t="s">
        <v>176</v>
      </c>
      <c r="T85" s="8">
        <f t="shared" si="3"/>
        <v>15</v>
      </c>
      <c r="U85" s="8">
        <v>0</v>
      </c>
      <c r="V85" s="8">
        <v>0</v>
      </c>
      <c r="W85" s="8">
        <v>0</v>
      </c>
      <c r="X85" s="8">
        <v>1</v>
      </c>
      <c r="Y85" s="8">
        <v>1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62" t="s">
        <v>132</v>
      </c>
      <c r="AL85" s="62" t="s">
        <v>50</v>
      </c>
      <c r="AM85" s="62" t="s">
        <v>77</v>
      </c>
      <c r="AN85" s="5"/>
      <c r="AO85" s="7"/>
    </row>
    <row r="86" spans="1:41" ht="15.75" customHeight="1" x14ac:dyDescent="0.25">
      <c r="A86" s="4">
        <v>85</v>
      </c>
      <c r="B86" s="5" t="s">
        <v>224</v>
      </c>
      <c r="C86" s="58">
        <v>4</v>
      </c>
      <c r="D86" s="61" t="s">
        <v>363</v>
      </c>
      <c r="E86" s="72" t="s">
        <v>364</v>
      </c>
      <c r="F86" s="62" t="s">
        <v>364</v>
      </c>
      <c r="G86" s="8" t="s">
        <v>88</v>
      </c>
      <c r="H86" s="8">
        <v>2002</v>
      </c>
      <c r="I86" s="62" t="s">
        <v>44</v>
      </c>
      <c r="J86" s="62" t="s">
        <v>100</v>
      </c>
      <c r="K86" s="62" t="s">
        <v>65</v>
      </c>
      <c r="L86" s="62" t="s">
        <v>46</v>
      </c>
      <c r="M86" s="62" t="s">
        <v>47</v>
      </c>
      <c r="N86" s="5">
        <v>0</v>
      </c>
      <c r="O86" s="8">
        <v>0</v>
      </c>
      <c r="P86" s="69">
        <v>60000</v>
      </c>
      <c r="Q86" s="69">
        <v>114000</v>
      </c>
      <c r="R86" s="69">
        <v>87000</v>
      </c>
      <c r="S86" s="62" t="s">
        <v>122</v>
      </c>
      <c r="T86" s="8">
        <f t="shared" si="3"/>
        <v>21</v>
      </c>
      <c r="U86" s="8">
        <v>1</v>
      </c>
      <c r="V86" s="8">
        <v>0</v>
      </c>
      <c r="W86" s="8">
        <v>1</v>
      </c>
      <c r="X86" s="8">
        <v>1</v>
      </c>
      <c r="Y86" s="8">
        <v>1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62" t="s">
        <v>146</v>
      </c>
      <c r="AL86" s="62" t="s">
        <v>50</v>
      </c>
      <c r="AM86" s="62" t="s">
        <v>77</v>
      </c>
      <c r="AN86" s="5"/>
      <c r="AO86" s="7"/>
    </row>
    <row r="87" spans="1:41" ht="15.75" customHeight="1" x14ac:dyDescent="0.25">
      <c r="A87" s="4">
        <v>86</v>
      </c>
      <c r="B87" s="5" t="s">
        <v>130</v>
      </c>
      <c r="C87" s="58">
        <v>4.4000000000000004</v>
      </c>
      <c r="D87" s="61" t="s">
        <v>365</v>
      </c>
      <c r="E87" s="72" t="s">
        <v>366</v>
      </c>
      <c r="F87" s="62" t="s">
        <v>366</v>
      </c>
      <c r="G87" s="8" t="s">
        <v>43</v>
      </c>
      <c r="H87" s="8">
        <v>1948</v>
      </c>
      <c r="I87" s="62" t="s">
        <v>44</v>
      </c>
      <c r="J87" s="62" t="s">
        <v>332</v>
      </c>
      <c r="K87" s="62" t="s">
        <v>65</v>
      </c>
      <c r="L87" s="62" t="s">
        <v>66</v>
      </c>
      <c r="M87" s="62" t="s">
        <v>47</v>
      </c>
      <c r="N87" s="5">
        <v>0</v>
      </c>
      <c r="O87" s="8">
        <v>0</v>
      </c>
      <c r="P87" s="69">
        <v>39000</v>
      </c>
      <c r="Q87" s="69">
        <v>68000</v>
      </c>
      <c r="R87" s="69">
        <v>53500</v>
      </c>
      <c r="S87" s="62" t="s">
        <v>76</v>
      </c>
      <c r="T87" s="8">
        <f t="shared" si="3"/>
        <v>75</v>
      </c>
      <c r="U87" s="8">
        <v>0</v>
      </c>
      <c r="V87" s="8">
        <v>0</v>
      </c>
      <c r="W87" s="8">
        <v>0</v>
      </c>
      <c r="X87" s="8">
        <v>1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62" t="s">
        <v>132</v>
      </c>
      <c r="AL87" s="62" t="s">
        <v>50</v>
      </c>
      <c r="AM87" s="62" t="s">
        <v>77</v>
      </c>
      <c r="AN87" s="5"/>
      <c r="AO87" s="7"/>
    </row>
    <row r="88" spans="1:41" ht="15.75" customHeight="1" x14ac:dyDescent="0.25">
      <c r="A88" s="4">
        <v>87</v>
      </c>
      <c r="B88" s="5" t="s">
        <v>123</v>
      </c>
      <c r="C88" s="58">
        <v>3.2</v>
      </c>
      <c r="D88" s="61" t="s">
        <v>124</v>
      </c>
      <c r="E88" s="72" t="s">
        <v>125</v>
      </c>
      <c r="F88" s="62" t="s">
        <v>126</v>
      </c>
      <c r="G88" s="8" t="s">
        <v>56</v>
      </c>
      <c r="H88" s="8">
        <v>1962</v>
      </c>
      <c r="I88" s="62" t="s">
        <v>89</v>
      </c>
      <c r="J88" s="62" t="s">
        <v>127</v>
      </c>
      <c r="K88" s="62" t="s">
        <v>116</v>
      </c>
      <c r="L88" s="62" t="s">
        <v>128</v>
      </c>
      <c r="M88" s="62" t="s">
        <v>129</v>
      </c>
      <c r="N88" s="5">
        <v>0</v>
      </c>
      <c r="O88" s="8">
        <v>0</v>
      </c>
      <c r="P88" s="69">
        <v>106000</v>
      </c>
      <c r="Q88" s="69">
        <v>172000</v>
      </c>
      <c r="R88" s="69">
        <v>139000</v>
      </c>
      <c r="S88" s="62" t="s">
        <v>93</v>
      </c>
      <c r="T88" s="8">
        <f t="shared" si="3"/>
        <v>61</v>
      </c>
      <c r="U88" s="8">
        <v>0</v>
      </c>
      <c r="V88" s="8">
        <v>0</v>
      </c>
      <c r="W88" s="8">
        <v>0</v>
      </c>
      <c r="X88" s="8">
        <v>0</v>
      </c>
      <c r="Y88" s="8">
        <v>1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62" t="s">
        <v>49</v>
      </c>
      <c r="AL88" s="62" t="s">
        <v>50</v>
      </c>
      <c r="AM88" s="62" t="s">
        <v>51</v>
      </c>
      <c r="AN88" s="5"/>
      <c r="AO88" s="7"/>
    </row>
    <row r="89" spans="1:41" ht="15.75" customHeight="1" x14ac:dyDescent="0.25">
      <c r="A89" s="4">
        <v>88</v>
      </c>
      <c r="B89" s="5" t="s">
        <v>39</v>
      </c>
      <c r="C89" s="58">
        <v>3.8</v>
      </c>
      <c r="D89" s="61" t="s">
        <v>97</v>
      </c>
      <c r="E89" s="72" t="s">
        <v>98</v>
      </c>
      <c r="F89" s="62" t="s">
        <v>99</v>
      </c>
      <c r="G89" s="8" t="s">
        <v>88</v>
      </c>
      <c r="H89" s="8">
        <v>2005</v>
      </c>
      <c r="I89" s="62" t="s">
        <v>44</v>
      </c>
      <c r="J89" s="62" t="s">
        <v>100</v>
      </c>
      <c r="K89" s="62" t="s">
        <v>65</v>
      </c>
      <c r="L89" s="62" t="s">
        <v>101</v>
      </c>
      <c r="M89" s="62" t="s">
        <v>47</v>
      </c>
      <c r="N89" s="5">
        <v>0</v>
      </c>
      <c r="O89" s="8">
        <v>0</v>
      </c>
      <c r="P89" s="69">
        <v>86000</v>
      </c>
      <c r="Q89" s="69">
        <v>142000</v>
      </c>
      <c r="R89" s="69">
        <v>114000</v>
      </c>
      <c r="S89" s="62" t="s">
        <v>102</v>
      </c>
      <c r="T89" s="8">
        <f t="shared" si="3"/>
        <v>18</v>
      </c>
      <c r="U89" s="8">
        <v>1</v>
      </c>
      <c r="V89" s="8">
        <v>1</v>
      </c>
      <c r="W89" s="8">
        <v>1</v>
      </c>
      <c r="X89" s="8">
        <v>1</v>
      </c>
      <c r="Y89" s="8">
        <v>1</v>
      </c>
      <c r="Z89" s="8">
        <v>0</v>
      </c>
      <c r="AA89" s="8">
        <v>0</v>
      </c>
      <c r="AB89" s="8">
        <v>1</v>
      </c>
      <c r="AC89" s="8">
        <v>0</v>
      </c>
      <c r="AD89" s="8">
        <v>1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62" t="s">
        <v>49</v>
      </c>
      <c r="AL89" s="62" t="s">
        <v>50</v>
      </c>
      <c r="AM89" s="62" t="s">
        <v>51</v>
      </c>
      <c r="AN89" s="5"/>
      <c r="AO89" s="7"/>
    </row>
    <row r="90" spans="1:41" ht="15.75" customHeight="1" x14ac:dyDescent="0.25">
      <c r="A90" s="4">
        <v>89</v>
      </c>
      <c r="B90" s="5" t="s">
        <v>39</v>
      </c>
      <c r="C90" s="58">
        <v>4.2</v>
      </c>
      <c r="D90" s="61" t="s">
        <v>367</v>
      </c>
      <c r="E90" s="72" t="s">
        <v>368</v>
      </c>
      <c r="F90" s="62" t="s">
        <v>368</v>
      </c>
      <c r="G90" s="8" t="s">
        <v>43</v>
      </c>
      <c r="H90" s="8">
        <v>2008</v>
      </c>
      <c r="I90" s="62" t="s">
        <v>44</v>
      </c>
      <c r="J90" s="62" t="s">
        <v>155</v>
      </c>
      <c r="K90" s="62" t="s">
        <v>111</v>
      </c>
      <c r="L90" s="62" t="s">
        <v>66</v>
      </c>
      <c r="M90" s="62" t="s">
        <v>47</v>
      </c>
      <c r="N90" s="5">
        <v>0</v>
      </c>
      <c r="O90" s="8">
        <v>0</v>
      </c>
      <c r="P90" s="69">
        <v>64000</v>
      </c>
      <c r="Q90" s="69">
        <v>107000</v>
      </c>
      <c r="R90" s="69">
        <v>85500</v>
      </c>
      <c r="S90" s="62" t="s">
        <v>67</v>
      </c>
      <c r="T90" s="8">
        <f t="shared" si="3"/>
        <v>15</v>
      </c>
      <c r="U90" s="8">
        <v>1</v>
      </c>
      <c r="V90" s="8">
        <v>1</v>
      </c>
      <c r="W90" s="8">
        <v>0</v>
      </c>
      <c r="X90" s="8">
        <v>1</v>
      </c>
      <c r="Y90" s="8">
        <v>1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62" t="s">
        <v>49</v>
      </c>
      <c r="AL90" s="62" t="s">
        <v>50</v>
      </c>
      <c r="AM90" s="62" t="s">
        <v>77</v>
      </c>
      <c r="AN90" s="5"/>
      <c r="AO90" s="7"/>
    </row>
    <row r="91" spans="1:41" ht="15.75" customHeight="1" x14ac:dyDescent="0.25">
      <c r="A91" s="4">
        <v>90</v>
      </c>
      <c r="B91" s="5" t="s">
        <v>369</v>
      </c>
      <c r="C91" s="58">
        <v>4.5</v>
      </c>
      <c r="D91" s="61" t="s">
        <v>370</v>
      </c>
      <c r="E91" s="72" t="s">
        <v>273</v>
      </c>
      <c r="F91" s="62" t="s">
        <v>118</v>
      </c>
      <c r="G91" s="8" t="s">
        <v>81</v>
      </c>
      <c r="H91" s="8">
        <v>1996</v>
      </c>
      <c r="I91" s="62" t="s">
        <v>44</v>
      </c>
      <c r="J91" s="62" t="s">
        <v>213</v>
      </c>
      <c r="K91" s="62" t="s">
        <v>111</v>
      </c>
      <c r="L91" s="62" t="s">
        <v>101</v>
      </c>
      <c r="M91" s="62" t="s">
        <v>47</v>
      </c>
      <c r="N91" s="5">
        <v>0</v>
      </c>
      <c r="O91" s="8">
        <v>0</v>
      </c>
      <c r="P91" s="69">
        <v>31000</v>
      </c>
      <c r="Q91" s="69">
        <v>65000</v>
      </c>
      <c r="R91" s="69">
        <v>48000</v>
      </c>
      <c r="S91" s="62" t="s">
        <v>274</v>
      </c>
      <c r="T91" s="8">
        <f t="shared" si="3"/>
        <v>27</v>
      </c>
      <c r="U91" s="8">
        <v>0</v>
      </c>
      <c r="V91" s="8">
        <v>0</v>
      </c>
      <c r="W91" s="8">
        <v>0</v>
      </c>
      <c r="X91" s="8">
        <v>1</v>
      </c>
      <c r="Y91" s="8">
        <v>1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62" t="s">
        <v>107</v>
      </c>
      <c r="AL91" s="62" t="s">
        <v>50</v>
      </c>
      <c r="AM91" s="62" t="s">
        <v>77</v>
      </c>
      <c r="AN91" s="5"/>
      <c r="AO91" s="7"/>
    </row>
    <row r="92" spans="1:41" ht="15.75" customHeight="1" x14ac:dyDescent="0.25">
      <c r="A92" s="4">
        <v>91</v>
      </c>
      <c r="B92" s="5" t="s">
        <v>371</v>
      </c>
      <c r="C92" s="58">
        <v>3.5</v>
      </c>
      <c r="D92" s="61" t="s">
        <v>372</v>
      </c>
      <c r="E92" s="72" t="s">
        <v>373</v>
      </c>
      <c r="F92" s="62" t="s">
        <v>374</v>
      </c>
      <c r="G92" s="8" t="s">
        <v>81</v>
      </c>
      <c r="H92" s="8">
        <v>1999</v>
      </c>
      <c r="I92" s="62" t="s">
        <v>44</v>
      </c>
      <c r="J92" s="62" t="s">
        <v>155</v>
      </c>
      <c r="K92" s="62" t="s">
        <v>111</v>
      </c>
      <c r="L92" s="62" t="s">
        <v>83</v>
      </c>
      <c r="M92" s="62" t="s">
        <v>47</v>
      </c>
      <c r="N92" s="5">
        <v>0</v>
      </c>
      <c r="O92" s="8">
        <v>0</v>
      </c>
      <c r="P92" s="69">
        <v>34000</v>
      </c>
      <c r="Q92" s="69">
        <v>62000</v>
      </c>
      <c r="R92" s="69">
        <v>48000</v>
      </c>
      <c r="S92" s="62" t="s">
        <v>375</v>
      </c>
      <c r="T92" s="8">
        <f t="shared" si="3"/>
        <v>24</v>
      </c>
      <c r="U92" s="8">
        <v>0</v>
      </c>
      <c r="V92" s="8">
        <v>0</v>
      </c>
      <c r="W92" s="8">
        <v>0</v>
      </c>
      <c r="X92" s="8">
        <v>1</v>
      </c>
      <c r="Y92" s="8">
        <v>1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62" t="s">
        <v>132</v>
      </c>
      <c r="AL92" s="62" t="s">
        <v>50</v>
      </c>
      <c r="AM92" s="62" t="s">
        <v>77</v>
      </c>
      <c r="AN92" s="5"/>
      <c r="AO92" s="7"/>
    </row>
    <row r="93" spans="1:41" ht="15.75" customHeight="1" x14ac:dyDescent="0.25">
      <c r="A93" s="4">
        <v>92</v>
      </c>
      <c r="B93" s="5" t="s">
        <v>376</v>
      </c>
      <c r="C93" s="58">
        <v>3.5</v>
      </c>
      <c r="D93" s="61" t="s">
        <v>377</v>
      </c>
      <c r="E93" s="72" t="s">
        <v>98</v>
      </c>
      <c r="F93" s="62" t="s">
        <v>114</v>
      </c>
      <c r="G93" s="8" t="s">
        <v>88</v>
      </c>
      <c r="H93" s="8">
        <v>1990</v>
      </c>
      <c r="I93" s="62" t="s">
        <v>89</v>
      </c>
      <c r="J93" s="62" t="s">
        <v>136</v>
      </c>
      <c r="K93" s="62" t="s">
        <v>136</v>
      </c>
      <c r="L93" s="62" t="s">
        <v>66</v>
      </c>
      <c r="M93" s="62" t="s">
        <v>378</v>
      </c>
      <c r="N93" s="5">
        <v>0</v>
      </c>
      <c r="O93" s="8">
        <v>0</v>
      </c>
      <c r="P93" s="69">
        <v>117000</v>
      </c>
      <c r="Q93" s="69">
        <v>231000</v>
      </c>
      <c r="R93" s="69">
        <v>174000</v>
      </c>
      <c r="S93" s="62" t="s">
        <v>102</v>
      </c>
      <c r="T93" s="8">
        <f t="shared" si="3"/>
        <v>33</v>
      </c>
      <c r="U93" s="8">
        <v>0</v>
      </c>
      <c r="V93" s="8">
        <v>0</v>
      </c>
      <c r="W93" s="8">
        <v>0</v>
      </c>
      <c r="X93" s="8">
        <v>1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62" t="s">
        <v>107</v>
      </c>
      <c r="AL93" s="62" t="s">
        <v>169</v>
      </c>
      <c r="AM93" s="62" t="s">
        <v>51</v>
      </c>
      <c r="AN93" s="5"/>
      <c r="AO93" s="7"/>
    </row>
    <row r="94" spans="1:41" ht="15.75" customHeight="1" x14ac:dyDescent="0.25">
      <c r="A94" s="4">
        <v>93</v>
      </c>
      <c r="B94" s="5" t="s">
        <v>379</v>
      </c>
      <c r="C94" s="58">
        <v>3.9</v>
      </c>
      <c r="D94" s="61" t="s">
        <v>380</v>
      </c>
      <c r="E94" s="72" t="s">
        <v>309</v>
      </c>
      <c r="F94" s="62" t="s">
        <v>172</v>
      </c>
      <c r="G94" s="8" t="s">
        <v>120</v>
      </c>
      <c r="H94" s="8">
        <v>1968</v>
      </c>
      <c r="I94" s="62" t="s">
        <v>89</v>
      </c>
      <c r="J94" s="62" t="s">
        <v>381</v>
      </c>
      <c r="K94" s="62" t="s">
        <v>96</v>
      </c>
      <c r="L94" s="62" t="s">
        <v>91</v>
      </c>
      <c r="M94" s="62" t="s">
        <v>47</v>
      </c>
      <c r="N94" s="5">
        <v>0</v>
      </c>
      <c r="O94" s="8">
        <v>0</v>
      </c>
      <c r="P94" s="69">
        <v>64000</v>
      </c>
      <c r="Q94" s="69">
        <v>106000</v>
      </c>
      <c r="R94" s="69">
        <v>85000</v>
      </c>
      <c r="S94" s="62" t="s">
        <v>310</v>
      </c>
      <c r="T94" s="8">
        <f t="shared" si="3"/>
        <v>55</v>
      </c>
      <c r="U94" s="8">
        <v>1</v>
      </c>
      <c r="V94" s="8">
        <v>1</v>
      </c>
      <c r="W94" s="8">
        <v>0</v>
      </c>
      <c r="X94" s="8">
        <v>0</v>
      </c>
      <c r="Y94" s="8">
        <v>1</v>
      </c>
      <c r="Z94" s="8">
        <v>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62" t="s">
        <v>49</v>
      </c>
      <c r="AL94" s="62" t="s">
        <v>50</v>
      </c>
      <c r="AM94" s="62" t="s">
        <v>77</v>
      </c>
      <c r="AN94" s="5"/>
      <c r="AO94" s="7"/>
    </row>
    <row r="95" spans="1:41" ht="15.75" customHeight="1" x14ac:dyDescent="0.25">
      <c r="A95" s="4">
        <v>94</v>
      </c>
      <c r="B95" s="5" t="s">
        <v>382</v>
      </c>
      <c r="C95" s="58">
        <v>4.7</v>
      </c>
      <c r="D95" s="61" t="s">
        <v>383</v>
      </c>
      <c r="E95" s="72" t="s">
        <v>384</v>
      </c>
      <c r="F95" s="62" t="s">
        <v>385</v>
      </c>
      <c r="G95" s="8" t="s">
        <v>81</v>
      </c>
      <c r="H95" s="8">
        <v>2003</v>
      </c>
      <c r="I95" s="62" t="s">
        <v>44</v>
      </c>
      <c r="J95" s="62" t="s">
        <v>213</v>
      </c>
      <c r="K95" s="62" t="s">
        <v>111</v>
      </c>
      <c r="L95" s="62" t="s">
        <v>180</v>
      </c>
      <c r="M95" s="62" t="s">
        <v>47</v>
      </c>
      <c r="N95" s="5">
        <v>0</v>
      </c>
      <c r="O95" s="8">
        <v>0</v>
      </c>
      <c r="P95" s="69">
        <v>79000</v>
      </c>
      <c r="Q95" s="69">
        <v>134000</v>
      </c>
      <c r="R95" s="69">
        <v>106500</v>
      </c>
      <c r="S95" s="62" t="s">
        <v>61</v>
      </c>
      <c r="T95" s="8">
        <f t="shared" si="3"/>
        <v>20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62" t="s">
        <v>386</v>
      </c>
      <c r="AL95" s="62" t="s">
        <v>50</v>
      </c>
      <c r="AM95" s="62" t="s">
        <v>77</v>
      </c>
      <c r="AN95" s="5"/>
      <c r="AO95" s="7"/>
    </row>
    <row r="96" spans="1:41" ht="15.75" customHeight="1" x14ac:dyDescent="0.25">
      <c r="A96" s="4">
        <v>95</v>
      </c>
      <c r="B96" s="5" t="s">
        <v>387</v>
      </c>
      <c r="C96" s="58">
        <v>4.2</v>
      </c>
      <c r="D96" s="61" t="s">
        <v>388</v>
      </c>
      <c r="E96" s="72" t="s">
        <v>389</v>
      </c>
      <c r="F96" s="62" t="s">
        <v>309</v>
      </c>
      <c r="G96" s="8" t="s">
        <v>70</v>
      </c>
      <c r="H96" s="8">
        <v>1988</v>
      </c>
      <c r="I96" s="62" t="s">
        <v>44</v>
      </c>
      <c r="J96" s="62" t="s">
        <v>213</v>
      </c>
      <c r="K96" s="62" t="s">
        <v>111</v>
      </c>
      <c r="L96" s="62" t="s">
        <v>66</v>
      </c>
      <c r="M96" s="62" t="s">
        <v>47</v>
      </c>
      <c r="N96" s="5">
        <v>0</v>
      </c>
      <c r="O96" s="8">
        <v>0</v>
      </c>
      <c r="P96" s="69">
        <v>52000</v>
      </c>
      <c r="Q96" s="69">
        <v>93000</v>
      </c>
      <c r="R96" s="69">
        <v>72500</v>
      </c>
      <c r="S96" s="62" t="s">
        <v>61</v>
      </c>
      <c r="T96" s="8">
        <f t="shared" si="3"/>
        <v>35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62" t="s">
        <v>132</v>
      </c>
      <c r="AL96" s="62" t="s">
        <v>50</v>
      </c>
      <c r="AM96" s="62" t="s">
        <v>77</v>
      </c>
      <c r="AN96" s="5"/>
      <c r="AO96" s="7"/>
    </row>
    <row r="97" spans="1:41" ht="15.75" customHeight="1" x14ac:dyDescent="0.25">
      <c r="A97" s="4">
        <v>96</v>
      </c>
      <c r="B97" s="5" t="s">
        <v>235</v>
      </c>
      <c r="C97" s="58">
        <v>3.4</v>
      </c>
      <c r="D97" s="61" t="s">
        <v>390</v>
      </c>
      <c r="E97" s="72" t="s">
        <v>391</v>
      </c>
      <c r="F97" s="62" t="s">
        <v>392</v>
      </c>
      <c r="G97" s="8" t="s">
        <v>56</v>
      </c>
      <c r="H97" s="8">
        <v>1996</v>
      </c>
      <c r="I97" s="62" t="s">
        <v>142</v>
      </c>
      <c r="J97" s="62" t="s">
        <v>213</v>
      </c>
      <c r="K97" s="62" t="s">
        <v>111</v>
      </c>
      <c r="L97" s="62" t="s">
        <v>128</v>
      </c>
      <c r="M97" s="62" t="s">
        <v>393</v>
      </c>
      <c r="N97" s="5">
        <v>0</v>
      </c>
      <c r="O97" s="8">
        <v>0</v>
      </c>
      <c r="P97" s="69">
        <v>55000</v>
      </c>
      <c r="Q97" s="69">
        <v>116000</v>
      </c>
      <c r="R97" s="69">
        <v>85500</v>
      </c>
      <c r="S97" s="62" t="s">
        <v>61</v>
      </c>
      <c r="T97" s="8">
        <f t="shared" si="3"/>
        <v>27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62" t="s">
        <v>107</v>
      </c>
      <c r="AL97" s="62" t="s">
        <v>50</v>
      </c>
      <c r="AM97" s="62" t="s">
        <v>51</v>
      </c>
      <c r="AN97" s="5"/>
      <c r="AO97" s="7"/>
    </row>
    <row r="98" spans="1:41" ht="15.75" customHeight="1" x14ac:dyDescent="0.25">
      <c r="A98" s="4">
        <v>97</v>
      </c>
      <c r="B98" s="5" t="s">
        <v>39</v>
      </c>
      <c r="C98" s="58">
        <v>3.2</v>
      </c>
      <c r="D98" s="61" t="s">
        <v>394</v>
      </c>
      <c r="E98" s="72" t="s">
        <v>395</v>
      </c>
      <c r="F98" s="62" t="s">
        <v>396</v>
      </c>
      <c r="G98" s="8" t="s">
        <v>120</v>
      </c>
      <c r="H98" s="8">
        <v>1958</v>
      </c>
      <c r="I98" s="62" t="s">
        <v>160</v>
      </c>
      <c r="J98" s="62" t="s">
        <v>397</v>
      </c>
      <c r="K98" s="62" t="s">
        <v>71</v>
      </c>
      <c r="L98" s="62" t="s">
        <v>91</v>
      </c>
      <c r="M98" s="62" t="s">
        <v>398</v>
      </c>
      <c r="N98" s="5">
        <v>0</v>
      </c>
      <c r="O98" s="8">
        <v>0</v>
      </c>
      <c r="P98" s="69">
        <v>72000</v>
      </c>
      <c r="Q98" s="69">
        <v>123000</v>
      </c>
      <c r="R98" s="69">
        <v>97500</v>
      </c>
      <c r="S98" s="62" t="s">
        <v>122</v>
      </c>
      <c r="T98" s="8">
        <f t="shared" si="3"/>
        <v>65</v>
      </c>
      <c r="U98" s="8">
        <v>1</v>
      </c>
      <c r="V98" s="8">
        <v>0</v>
      </c>
      <c r="W98" s="8">
        <v>0</v>
      </c>
      <c r="X98" s="8">
        <v>1</v>
      </c>
      <c r="Y98" s="8">
        <v>1</v>
      </c>
      <c r="Z98" s="8">
        <v>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1</v>
      </c>
      <c r="AG98" s="8">
        <v>1</v>
      </c>
      <c r="AH98" s="8">
        <v>0</v>
      </c>
      <c r="AI98" s="8">
        <v>1</v>
      </c>
      <c r="AJ98" s="8">
        <v>0</v>
      </c>
      <c r="AK98" s="62" t="s">
        <v>49</v>
      </c>
      <c r="AL98" s="62" t="s">
        <v>50</v>
      </c>
      <c r="AM98" s="62" t="s">
        <v>77</v>
      </c>
      <c r="AN98" s="5"/>
      <c r="AO98" s="7"/>
    </row>
    <row r="99" spans="1:41" ht="15.75" customHeight="1" x14ac:dyDescent="0.25">
      <c r="A99" s="4">
        <v>98</v>
      </c>
      <c r="B99" s="5" t="s">
        <v>39</v>
      </c>
      <c r="C99" s="58">
        <v>3.9</v>
      </c>
      <c r="D99" s="61" t="s">
        <v>337</v>
      </c>
      <c r="E99" s="72" t="s">
        <v>399</v>
      </c>
      <c r="F99" s="62" t="s">
        <v>339</v>
      </c>
      <c r="G99" s="8" t="s">
        <v>43</v>
      </c>
      <c r="H99" s="8">
        <v>2010</v>
      </c>
      <c r="I99" s="62" t="s">
        <v>44</v>
      </c>
      <c r="J99" s="62" t="s">
        <v>213</v>
      </c>
      <c r="K99" s="62" t="s">
        <v>111</v>
      </c>
      <c r="L99" s="62" t="s">
        <v>66</v>
      </c>
      <c r="M99" s="62" t="s">
        <v>340</v>
      </c>
      <c r="N99" s="5">
        <v>0</v>
      </c>
      <c r="O99" s="8">
        <v>0</v>
      </c>
      <c r="P99" s="69">
        <v>74000</v>
      </c>
      <c r="Q99" s="69">
        <v>124000</v>
      </c>
      <c r="R99" s="69">
        <v>99000</v>
      </c>
      <c r="S99" s="62" t="s">
        <v>122</v>
      </c>
      <c r="T99" s="8">
        <f t="shared" si="3"/>
        <v>13</v>
      </c>
      <c r="U99" s="8">
        <v>1</v>
      </c>
      <c r="V99" s="8">
        <v>0</v>
      </c>
      <c r="W99" s="8">
        <v>0</v>
      </c>
      <c r="X99" s="8">
        <v>1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1</v>
      </c>
      <c r="AG99" s="8">
        <v>0</v>
      </c>
      <c r="AH99" s="8">
        <v>0</v>
      </c>
      <c r="AI99" s="8">
        <v>0</v>
      </c>
      <c r="AJ99" s="8">
        <v>0</v>
      </c>
      <c r="AK99" s="62" t="s">
        <v>49</v>
      </c>
      <c r="AL99" s="62" t="s">
        <v>50</v>
      </c>
      <c r="AM99" s="62" t="s">
        <v>77</v>
      </c>
      <c r="AN99" s="5"/>
      <c r="AO99" s="7"/>
    </row>
    <row r="100" spans="1:41" ht="15.75" customHeight="1" x14ac:dyDescent="0.25">
      <c r="A100" s="4">
        <v>99</v>
      </c>
      <c r="B100" s="5" t="s">
        <v>130</v>
      </c>
      <c r="C100" s="58">
        <v>3.1</v>
      </c>
      <c r="D100" s="61" t="s">
        <v>400</v>
      </c>
      <c r="E100" s="72" t="s">
        <v>401</v>
      </c>
      <c r="F100" s="62" t="s">
        <v>269</v>
      </c>
      <c r="G100" s="8" t="s">
        <v>70</v>
      </c>
      <c r="H100" s="8">
        <v>2001</v>
      </c>
      <c r="I100" s="62" t="s">
        <v>44</v>
      </c>
      <c r="J100" s="62" t="s">
        <v>161</v>
      </c>
      <c r="K100" s="62" t="s">
        <v>162</v>
      </c>
      <c r="L100" s="62" t="s">
        <v>60</v>
      </c>
      <c r="M100" s="62" t="s">
        <v>402</v>
      </c>
      <c r="N100" s="5">
        <v>0</v>
      </c>
      <c r="O100" s="8">
        <v>0</v>
      </c>
      <c r="P100" s="69">
        <v>40000</v>
      </c>
      <c r="Q100" s="69">
        <v>73000</v>
      </c>
      <c r="R100" s="69">
        <v>56500</v>
      </c>
      <c r="S100" s="62" t="s">
        <v>403</v>
      </c>
      <c r="T100" s="8">
        <f t="shared" si="3"/>
        <v>22</v>
      </c>
      <c r="U100" s="8">
        <v>0</v>
      </c>
      <c r="V100" s="8">
        <v>0</v>
      </c>
      <c r="W100" s="8">
        <v>0</v>
      </c>
      <c r="X100" s="8">
        <v>1</v>
      </c>
      <c r="Y100" s="8">
        <v>1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62" t="s">
        <v>132</v>
      </c>
      <c r="AL100" s="62" t="s">
        <v>50</v>
      </c>
      <c r="AM100" s="62" t="s">
        <v>77</v>
      </c>
      <c r="AN100" s="5"/>
      <c r="AO100" s="7"/>
    </row>
    <row r="101" spans="1:41" ht="15.75" customHeight="1" x14ac:dyDescent="0.25">
      <c r="A101" s="4">
        <v>100</v>
      </c>
      <c r="B101" s="5" t="s">
        <v>246</v>
      </c>
      <c r="C101" s="58">
        <v>4.0999999999999996</v>
      </c>
      <c r="D101" s="61" t="s">
        <v>404</v>
      </c>
      <c r="E101" s="72" t="s">
        <v>405</v>
      </c>
      <c r="F101" s="62" t="s">
        <v>406</v>
      </c>
      <c r="G101" s="8">
        <v>500</v>
      </c>
      <c r="H101" s="8">
        <v>2007</v>
      </c>
      <c r="I101" s="62" t="s">
        <v>44</v>
      </c>
      <c r="J101" s="62" t="s">
        <v>213</v>
      </c>
      <c r="K101" s="62" t="s">
        <v>111</v>
      </c>
      <c r="L101" s="62" t="s">
        <v>83</v>
      </c>
      <c r="M101" s="62" t="s">
        <v>47</v>
      </c>
      <c r="N101" s="5">
        <v>0</v>
      </c>
      <c r="O101" s="8">
        <v>0</v>
      </c>
      <c r="P101" s="69">
        <v>102000</v>
      </c>
      <c r="Q101" s="69">
        <v>164000</v>
      </c>
      <c r="R101" s="69">
        <v>133000</v>
      </c>
      <c r="S101" s="62" t="s">
        <v>61</v>
      </c>
      <c r="T101" s="8">
        <f t="shared" si="3"/>
        <v>16</v>
      </c>
      <c r="U101" s="8">
        <v>1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62" t="s">
        <v>49</v>
      </c>
      <c r="AL101" s="62" t="s">
        <v>169</v>
      </c>
      <c r="AM101" s="62" t="s">
        <v>77</v>
      </c>
      <c r="AN101" s="5"/>
      <c r="AO101" s="7"/>
    </row>
    <row r="102" spans="1:41" ht="15.75" customHeight="1" x14ac:dyDescent="0.25">
      <c r="A102" s="4">
        <v>101</v>
      </c>
      <c r="B102" s="5" t="s">
        <v>39</v>
      </c>
      <c r="C102" s="58">
        <v>3.8</v>
      </c>
      <c r="D102" s="61" t="s">
        <v>407</v>
      </c>
      <c r="E102" s="72" t="s">
        <v>79</v>
      </c>
      <c r="F102" s="62" t="s">
        <v>80</v>
      </c>
      <c r="G102" s="8" t="s">
        <v>81</v>
      </c>
      <c r="H102" s="8">
        <v>2012</v>
      </c>
      <c r="I102" s="62" t="s">
        <v>44</v>
      </c>
      <c r="J102" s="62" t="s">
        <v>121</v>
      </c>
      <c r="K102" s="62" t="s">
        <v>65</v>
      </c>
      <c r="L102" s="62" t="s">
        <v>83</v>
      </c>
      <c r="M102" s="62" t="s">
        <v>47</v>
      </c>
      <c r="N102" s="5">
        <v>0</v>
      </c>
      <c r="O102" s="8">
        <v>0</v>
      </c>
      <c r="P102" s="69">
        <v>89000</v>
      </c>
      <c r="Q102" s="69">
        <v>153000</v>
      </c>
      <c r="R102" s="69">
        <v>121000</v>
      </c>
      <c r="S102" s="62" t="s">
        <v>85</v>
      </c>
      <c r="T102" s="8">
        <f t="shared" si="3"/>
        <v>11</v>
      </c>
      <c r="U102" s="8">
        <v>1</v>
      </c>
      <c r="V102" s="8">
        <v>1</v>
      </c>
      <c r="W102" s="8">
        <v>0</v>
      </c>
      <c r="X102" s="8">
        <v>0</v>
      </c>
      <c r="Y102" s="8">
        <v>0</v>
      </c>
      <c r="Z102" s="8">
        <v>0</v>
      </c>
      <c r="AA102" s="8">
        <v>1</v>
      </c>
      <c r="AB102" s="8">
        <v>1</v>
      </c>
      <c r="AC102" s="8">
        <v>1</v>
      </c>
      <c r="AD102" s="8">
        <v>1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62" t="s">
        <v>49</v>
      </c>
      <c r="AL102" s="62" t="s">
        <v>50</v>
      </c>
      <c r="AM102" s="62" t="s">
        <v>77</v>
      </c>
      <c r="AN102" s="5"/>
      <c r="AO102" s="7"/>
    </row>
    <row r="103" spans="1:41" ht="15.75" customHeight="1" x14ac:dyDescent="0.25">
      <c r="A103" s="4">
        <v>102</v>
      </c>
      <c r="B103" s="5" t="s">
        <v>39</v>
      </c>
      <c r="C103" s="58">
        <v>4.7</v>
      </c>
      <c r="D103" s="61" t="s">
        <v>408</v>
      </c>
      <c r="E103" s="72" t="s">
        <v>409</v>
      </c>
      <c r="F103" s="62" t="s">
        <v>409</v>
      </c>
      <c r="G103" s="8" t="s">
        <v>43</v>
      </c>
      <c r="H103" s="8">
        <v>1992</v>
      </c>
      <c r="I103" s="62" t="s">
        <v>44</v>
      </c>
      <c r="J103" s="62" t="s">
        <v>64</v>
      </c>
      <c r="K103" s="62" t="s">
        <v>65</v>
      </c>
      <c r="L103" s="62" t="s">
        <v>83</v>
      </c>
      <c r="M103" s="62" t="s">
        <v>410</v>
      </c>
      <c r="N103" s="5">
        <v>0</v>
      </c>
      <c r="O103" s="8">
        <v>0</v>
      </c>
      <c r="P103" s="69">
        <v>61000</v>
      </c>
      <c r="Q103" s="69">
        <v>110000</v>
      </c>
      <c r="R103" s="69">
        <v>85500</v>
      </c>
      <c r="S103" s="62" t="s">
        <v>85</v>
      </c>
      <c r="T103" s="8">
        <f t="shared" si="3"/>
        <v>31</v>
      </c>
      <c r="U103" s="8">
        <v>1</v>
      </c>
      <c r="V103" s="8">
        <v>0</v>
      </c>
      <c r="W103" s="8">
        <v>0</v>
      </c>
      <c r="X103" s="8">
        <v>0</v>
      </c>
      <c r="Y103" s="8">
        <v>1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62" t="s">
        <v>49</v>
      </c>
      <c r="AL103" s="62" t="s">
        <v>50</v>
      </c>
      <c r="AM103" s="62" t="s">
        <v>51</v>
      </c>
      <c r="AN103" s="5"/>
      <c r="AO103" s="7"/>
    </row>
    <row r="104" spans="1:41" ht="15.75" customHeight="1" x14ac:dyDescent="0.25">
      <c r="A104" s="4">
        <v>103</v>
      </c>
      <c r="B104" s="5" t="s">
        <v>411</v>
      </c>
      <c r="C104" s="58">
        <v>4.3</v>
      </c>
      <c r="D104" s="61" t="s">
        <v>412</v>
      </c>
      <c r="E104" s="72" t="s">
        <v>413</v>
      </c>
      <c r="F104" s="62" t="s">
        <v>80</v>
      </c>
      <c r="G104" s="8" t="s">
        <v>70</v>
      </c>
      <c r="H104" s="8">
        <v>2015</v>
      </c>
      <c r="I104" s="62" t="s">
        <v>142</v>
      </c>
      <c r="J104" s="62" t="s">
        <v>414</v>
      </c>
      <c r="K104" s="62" t="s">
        <v>415</v>
      </c>
      <c r="L104" s="62" t="s">
        <v>83</v>
      </c>
      <c r="M104" s="62" t="s">
        <v>416</v>
      </c>
      <c r="N104" s="5">
        <v>0</v>
      </c>
      <c r="O104" s="8">
        <v>0</v>
      </c>
      <c r="P104" s="69">
        <v>65000</v>
      </c>
      <c r="Q104" s="69">
        <v>110000</v>
      </c>
      <c r="R104" s="69">
        <v>87500</v>
      </c>
      <c r="S104" s="62" t="s">
        <v>93</v>
      </c>
      <c r="T104" s="8">
        <f t="shared" si="3"/>
        <v>8</v>
      </c>
      <c r="U104" s="8">
        <v>1</v>
      </c>
      <c r="V104" s="8">
        <v>0</v>
      </c>
      <c r="W104" s="8">
        <v>0</v>
      </c>
      <c r="X104" s="8">
        <v>0</v>
      </c>
      <c r="Y104" s="8">
        <v>1</v>
      </c>
      <c r="Z104" s="8">
        <v>0</v>
      </c>
      <c r="AA104" s="8">
        <v>0</v>
      </c>
      <c r="AB104" s="8">
        <v>0</v>
      </c>
      <c r="AC104" s="8">
        <v>0</v>
      </c>
      <c r="AD104" s="8">
        <v>1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62" t="s">
        <v>49</v>
      </c>
      <c r="AL104" s="62" t="s">
        <v>50</v>
      </c>
      <c r="AM104" s="62" t="s">
        <v>77</v>
      </c>
      <c r="AN104" s="5"/>
      <c r="AO104" s="7"/>
    </row>
    <row r="105" spans="1:41" ht="15.75" customHeight="1" x14ac:dyDescent="0.25">
      <c r="A105" s="4">
        <v>104</v>
      </c>
      <c r="B105" s="5" t="s">
        <v>220</v>
      </c>
      <c r="C105" s="58">
        <v>4.2</v>
      </c>
      <c r="D105" s="61" t="s">
        <v>417</v>
      </c>
      <c r="E105" s="72" t="s">
        <v>243</v>
      </c>
      <c r="F105" s="62" t="s">
        <v>243</v>
      </c>
      <c r="G105" s="8" t="s">
        <v>70</v>
      </c>
      <c r="H105" s="8">
        <v>1935</v>
      </c>
      <c r="I105" s="62" t="s">
        <v>44</v>
      </c>
      <c r="J105" s="62" t="s">
        <v>100</v>
      </c>
      <c r="K105" s="62" t="s">
        <v>65</v>
      </c>
      <c r="L105" s="62" t="s">
        <v>83</v>
      </c>
      <c r="M105" s="62" t="s">
        <v>418</v>
      </c>
      <c r="N105" s="5">
        <v>0</v>
      </c>
      <c r="O105" s="8">
        <v>0</v>
      </c>
      <c r="P105" s="69">
        <v>200000</v>
      </c>
      <c r="Q105" s="69">
        <v>275000</v>
      </c>
      <c r="R105" s="69">
        <v>237500</v>
      </c>
      <c r="S105" s="62" t="s">
        <v>245</v>
      </c>
      <c r="T105" s="8">
        <f t="shared" si="3"/>
        <v>88</v>
      </c>
      <c r="U105" s="8">
        <v>1</v>
      </c>
      <c r="V105" s="8">
        <v>0</v>
      </c>
      <c r="W105" s="8">
        <v>0</v>
      </c>
      <c r="X105" s="8">
        <v>1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62" t="s">
        <v>49</v>
      </c>
      <c r="AL105" s="62" t="s">
        <v>169</v>
      </c>
      <c r="AM105" s="62" t="s">
        <v>51</v>
      </c>
      <c r="AN105" s="5"/>
      <c r="AO105" s="7"/>
    </row>
    <row r="106" spans="1:41" ht="15.75" customHeight="1" x14ac:dyDescent="0.25">
      <c r="A106" s="4">
        <v>105</v>
      </c>
      <c r="B106" s="5" t="s">
        <v>224</v>
      </c>
      <c r="C106" s="58">
        <v>3.9</v>
      </c>
      <c r="D106" s="61" t="s">
        <v>419</v>
      </c>
      <c r="E106" s="72" t="s">
        <v>420</v>
      </c>
      <c r="F106" s="62" t="s">
        <v>421</v>
      </c>
      <c r="G106" s="8" t="s">
        <v>70</v>
      </c>
      <c r="H106" s="8">
        <v>1997</v>
      </c>
      <c r="I106" s="62" t="s">
        <v>44</v>
      </c>
      <c r="J106" s="62" t="s">
        <v>213</v>
      </c>
      <c r="K106" s="62" t="s">
        <v>111</v>
      </c>
      <c r="L106" s="62" t="s">
        <v>66</v>
      </c>
      <c r="M106" s="62" t="s">
        <v>422</v>
      </c>
      <c r="N106" s="5">
        <v>0</v>
      </c>
      <c r="O106" s="8">
        <v>0</v>
      </c>
      <c r="P106" s="69">
        <v>68000</v>
      </c>
      <c r="Q106" s="69">
        <v>123000</v>
      </c>
      <c r="R106" s="69">
        <v>95500</v>
      </c>
      <c r="S106" s="62" t="s">
        <v>423</v>
      </c>
      <c r="T106" s="8">
        <f t="shared" si="3"/>
        <v>26</v>
      </c>
      <c r="U106" s="8">
        <v>1</v>
      </c>
      <c r="V106" s="8">
        <v>1</v>
      </c>
      <c r="W106" s="8">
        <v>0</v>
      </c>
      <c r="X106" s="8">
        <v>0</v>
      </c>
      <c r="Y106" s="8">
        <v>1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1</v>
      </c>
      <c r="AG106" s="8">
        <v>0</v>
      </c>
      <c r="AH106" s="8">
        <v>0</v>
      </c>
      <c r="AI106" s="8">
        <v>0</v>
      </c>
      <c r="AJ106" s="8">
        <v>0</v>
      </c>
      <c r="AK106" s="62" t="s">
        <v>146</v>
      </c>
      <c r="AL106" s="62" t="s">
        <v>50</v>
      </c>
      <c r="AM106" s="62" t="s">
        <v>51</v>
      </c>
      <c r="AN106" s="5"/>
      <c r="AO106" s="7"/>
    </row>
    <row r="107" spans="1:41" ht="15.75" customHeight="1" x14ac:dyDescent="0.25">
      <c r="A107" s="4">
        <v>106</v>
      </c>
      <c r="B107" s="5" t="s">
        <v>220</v>
      </c>
      <c r="C107" s="58">
        <v>3.3</v>
      </c>
      <c r="D107" s="61" t="s">
        <v>424</v>
      </c>
      <c r="E107" s="72" t="s">
        <v>425</v>
      </c>
      <c r="F107" s="62" t="s">
        <v>199</v>
      </c>
      <c r="G107" s="8" t="s">
        <v>56</v>
      </c>
      <c r="H107" s="8">
        <v>1994</v>
      </c>
      <c r="I107" s="62" t="s">
        <v>89</v>
      </c>
      <c r="J107" s="62" t="s">
        <v>426</v>
      </c>
      <c r="K107" s="62" t="s">
        <v>427</v>
      </c>
      <c r="L107" s="62" t="s">
        <v>194</v>
      </c>
      <c r="M107" s="62" t="s">
        <v>47</v>
      </c>
      <c r="N107" s="5">
        <v>0</v>
      </c>
      <c r="O107" s="8">
        <v>0</v>
      </c>
      <c r="P107" s="69">
        <v>80000</v>
      </c>
      <c r="Q107" s="69">
        <v>129000</v>
      </c>
      <c r="R107" s="69">
        <v>104500</v>
      </c>
      <c r="S107" s="62" t="s">
        <v>200</v>
      </c>
      <c r="T107" s="8">
        <f t="shared" si="3"/>
        <v>29</v>
      </c>
      <c r="U107" s="8">
        <v>1</v>
      </c>
      <c r="V107" s="8">
        <v>1</v>
      </c>
      <c r="W107" s="8">
        <v>1</v>
      </c>
      <c r="X107" s="8">
        <v>1</v>
      </c>
      <c r="Y107" s="8">
        <v>1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1</v>
      </c>
      <c r="AH107" s="8">
        <v>0</v>
      </c>
      <c r="AI107" s="8">
        <v>0</v>
      </c>
      <c r="AJ107" s="8">
        <v>0</v>
      </c>
      <c r="AK107" s="62" t="s">
        <v>49</v>
      </c>
      <c r="AL107" s="62" t="s">
        <v>169</v>
      </c>
      <c r="AM107" s="62" t="s">
        <v>51</v>
      </c>
      <c r="AN107" s="5"/>
      <c r="AO107" s="7"/>
    </row>
    <row r="108" spans="1:41" ht="15.75" customHeight="1" x14ac:dyDescent="0.25">
      <c r="A108" s="4">
        <v>107</v>
      </c>
      <c r="B108" s="5" t="s">
        <v>428</v>
      </c>
      <c r="C108" s="58">
        <v>4.7</v>
      </c>
      <c r="D108" s="61" t="s">
        <v>429</v>
      </c>
      <c r="E108" s="72" t="s">
        <v>430</v>
      </c>
      <c r="F108" s="62" t="s">
        <v>431</v>
      </c>
      <c r="G108" s="8" t="s">
        <v>88</v>
      </c>
      <c r="H108" s="8">
        <v>2012</v>
      </c>
      <c r="I108" s="62" t="s">
        <v>44</v>
      </c>
      <c r="J108" s="62" t="s">
        <v>216</v>
      </c>
      <c r="K108" s="62" t="s">
        <v>111</v>
      </c>
      <c r="L108" s="62" t="s">
        <v>83</v>
      </c>
      <c r="M108" s="62" t="s">
        <v>432</v>
      </c>
      <c r="N108" s="5">
        <v>0</v>
      </c>
      <c r="O108" s="8">
        <v>0</v>
      </c>
      <c r="P108" s="69">
        <v>41000</v>
      </c>
      <c r="Q108" s="69">
        <v>72000</v>
      </c>
      <c r="R108" s="69">
        <v>56500</v>
      </c>
      <c r="S108" s="62" t="s">
        <v>145</v>
      </c>
      <c r="T108" s="8">
        <f t="shared" si="3"/>
        <v>11</v>
      </c>
      <c r="U108" s="8">
        <v>0</v>
      </c>
      <c r="V108" s="8">
        <v>0</v>
      </c>
      <c r="W108" s="8">
        <v>0</v>
      </c>
      <c r="X108" s="8">
        <v>1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1</v>
      </c>
      <c r="AG108" s="8">
        <v>0</v>
      </c>
      <c r="AH108" s="8">
        <v>0</v>
      </c>
      <c r="AI108" s="8">
        <v>0</v>
      </c>
      <c r="AJ108" s="8">
        <v>0</v>
      </c>
      <c r="AK108" s="62" t="s">
        <v>132</v>
      </c>
      <c r="AL108" s="62" t="s">
        <v>50</v>
      </c>
      <c r="AM108" s="62" t="s">
        <v>77</v>
      </c>
      <c r="AN108" s="5"/>
      <c r="AO108" s="7"/>
    </row>
    <row r="109" spans="1:41" ht="15.75" customHeight="1" x14ac:dyDescent="0.25">
      <c r="A109" s="4">
        <v>108</v>
      </c>
      <c r="B109" s="5" t="s">
        <v>433</v>
      </c>
      <c r="C109" s="58">
        <v>4.3</v>
      </c>
      <c r="D109" s="61" t="s">
        <v>434</v>
      </c>
      <c r="E109" s="72" t="s">
        <v>435</v>
      </c>
      <c r="F109" s="62" t="s">
        <v>435</v>
      </c>
      <c r="G109" s="8" t="s">
        <v>88</v>
      </c>
      <c r="H109" s="8">
        <v>2010</v>
      </c>
      <c r="I109" s="62" t="s">
        <v>44</v>
      </c>
      <c r="J109" s="62" t="s">
        <v>155</v>
      </c>
      <c r="K109" s="62" t="s">
        <v>111</v>
      </c>
      <c r="L109" s="62" t="s">
        <v>101</v>
      </c>
      <c r="M109" s="62" t="s">
        <v>47</v>
      </c>
      <c r="N109" s="5">
        <v>0</v>
      </c>
      <c r="O109" s="8">
        <v>0</v>
      </c>
      <c r="P109" s="69">
        <v>39000</v>
      </c>
      <c r="Q109" s="69">
        <v>71000</v>
      </c>
      <c r="R109" s="69">
        <v>55000</v>
      </c>
      <c r="S109" s="62" t="s">
        <v>436</v>
      </c>
      <c r="T109" s="8">
        <f t="shared" si="3"/>
        <v>13</v>
      </c>
      <c r="U109" s="8">
        <v>0</v>
      </c>
      <c r="V109" s="8">
        <v>0</v>
      </c>
      <c r="W109" s="8">
        <v>0</v>
      </c>
      <c r="X109" s="8">
        <v>1</v>
      </c>
      <c r="Y109" s="8">
        <v>1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1</v>
      </c>
      <c r="AH109" s="8">
        <v>0</v>
      </c>
      <c r="AI109" s="8">
        <v>0</v>
      </c>
      <c r="AJ109" s="8">
        <v>0</v>
      </c>
      <c r="AK109" s="62" t="s">
        <v>132</v>
      </c>
      <c r="AL109" s="62" t="s">
        <v>169</v>
      </c>
      <c r="AM109" s="62" t="s">
        <v>77</v>
      </c>
      <c r="AN109" s="5"/>
      <c r="AO109" s="7"/>
    </row>
    <row r="110" spans="1:41" ht="15.75" customHeight="1" x14ac:dyDescent="0.25">
      <c r="A110" s="4">
        <v>109</v>
      </c>
      <c r="B110" s="5" t="s">
        <v>103</v>
      </c>
      <c r="C110" s="58">
        <v>2.9</v>
      </c>
      <c r="D110" s="61" t="s">
        <v>437</v>
      </c>
      <c r="E110" s="72" t="s">
        <v>253</v>
      </c>
      <c r="F110" s="62" t="s">
        <v>253</v>
      </c>
      <c r="G110" s="8" t="s">
        <v>70</v>
      </c>
      <c r="H110" s="8">
        <v>1977</v>
      </c>
      <c r="I110" s="62" t="s">
        <v>106</v>
      </c>
      <c r="J110" s="62" t="s">
        <v>58</v>
      </c>
      <c r="K110" s="62" t="s">
        <v>59</v>
      </c>
      <c r="L110" s="62" t="s">
        <v>83</v>
      </c>
      <c r="M110" s="62" t="s">
        <v>438</v>
      </c>
      <c r="N110" s="5">
        <v>0</v>
      </c>
      <c r="O110" s="8">
        <v>0</v>
      </c>
      <c r="P110" s="69">
        <v>38000</v>
      </c>
      <c r="Q110" s="69">
        <v>85000</v>
      </c>
      <c r="R110" s="69">
        <v>61500</v>
      </c>
      <c r="S110" s="62" t="s">
        <v>439</v>
      </c>
      <c r="T110" s="8">
        <f t="shared" si="3"/>
        <v>46</v>
      </c>
      <c r="U110" s="8">
        <v>0</v>
      </c>
      <c r="V110" s="8">
        <v>0</v>
      </c>
      <c r="W110" s="8">
        <v>0</v>
      </c>
      <c r="X110" s="8">
        <v>1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62" t="s">
        <v>107</v>
      </c>
      <c r="AL110" s="62" t="s">
        <v>50</v>
      </c>
      <c r="AM110" s="62" t="s">
        <v>108</v>
      </c>
      <c r="AN110" s="5"/>
      <c r="AO110" s="7"/>
    </row>
    <row r="111" spans="1:41" ht="15.75" customHeight="1" x14ac:dyDescent="0.25">
      <c r="A111" s="4">
        <v>110</v>
      </c>
      <c r="B111" s="5" t="s">
        <v>39</v>
      </c>
      <c r="C111" s="58">
        <v>4.5</v>
      </c>
      <c r="D111" s="61" t="s">
        <v>440</v>
      </c>
      <c r="E111" s="72" t="s">
        <v>98</v>
      </c>
      <c r="F111" s="62" t="s">
        <v>114</v>
      </c>
      <c r="G111" s="8" t="s">
        <v>88</v>
      </c>
      <c r="H111" s="8">
        <v>2006</v>
      </c>
      <c r="I111" s="62" t="s">
        <v>44</v>
      </c>
      <c r="J111" s="62" t="s">
        <v>216</v>
      </c>
      <c r="K111" s="62" t="s">
        <v>111</v>
      </c>
      <c r="L111" s="62" t="s">
        <v>66</v>
      </c>
      <c r="M111" s="62" t="s">
        <v>441</v>
      </c>
      <c r="N111" s="5">
        <v>0</v>
      </c>
      <c r="O111" s="8">
        <v>0</v>
      </c>
      <c r="P111" s="69">
        <v>121000</v>
      </c>
      <c r="Q111" s="69">
        <v>193000</v>
      </c>
      <c r="R111" s="69">
        <v>157000</v>
      </c>
      <c r="S111" s="62" t="s">
        <v>102</v>
      </c>
      <c r="T111" s="8">
        <f t="shared" si="3"/>
        <v>17</v>
      </c>
      <c r="U111" s="8">
        <v>0</v>
      </c>
      <c r="V111" s="8">
        <v>1</v>
      </c>
      <c r="W111" s="8">
        <v>1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62" t="s">
        <v>49</v>
      </c>
      <c r="AL111" s="62" t="s">
        <v>50</v>
      </c>
      <c r="AM111" s="62" t="s">
        <v>77</v>
      </c>
      <c r="AN111" s="5"/>
      <c r="AO111" s="7"/>
    </row>
    <row r="112" spans="1:41" ht="15.75" customHeight="1" x14ac:dyDescent="0.25">
      <c r="A112" s="4">
        <v>111</v>
      </c>
      <c r="B112" s="5" t="s">
        <v>224</v>
      </c>
      <c r="C112" s="58">
        <v>3.4</v>
      </c>
      <c r="D112" s="61" t="s">
        <v>442</v>
      </c>
      <c r="E112" s="72" t="s">
        <v>443</v>
      </c>
      <c r="F112" s="62" t="s">
        <v>443</v>
      </c>
      <c r="G112" s="8" t="s">
        <v>88</v>
      </c>
      <c r="H112" s="8">
        <v>2019</v>
      </c>
      <c r="I112" s="62" t="s">
        <v>44</v>
      </c>
      <c r="J112" s="62" t="s">
        <v>110</v>
      </c>
      <c r="K112" s="62" t="s">
        <v>111</v>
      </c>
      <c r="L112" s="62" t="s">
        <v>83</v>
      </c>
      <c r="M112" s="62" t="s">
        <v>444</v>
      </c>
      <c r="N112" s="5">
        <v>0</v>
      </c>
      <c r="O112" s="8">
        <v>0</v>
      </c>
      <c r="P112" s="69">
        <v>54000</v>
      </c>
      <c r="Q112" s="69">
        <v>102000</v>
      </c>
      <c r="R112" s="69">
        <v>78000</v>
      </c>
      <c r="S112" s="62" t="s">
        <v>145</v>
      </c>
      <c r="T112" s="8">
        <f t="shared" si="3"/>
        <v>4</v>
      </c>
      <c r="U112" s="8">
        <v>1</v>
      </c>
      <c r="V112" s="8">
        <v>0</v>
      </c>
      <c r="W112" s="8">
        <v>0</v>
      </c>
      <c r="X112" s="8">
        <v>0</v>
      </c>
      <c r="Y112" s="8">
        <v>1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  <c r="AK112" s="62" t="s">
        <v>146</v>
      </c>
      <c r="AL112" s="62" t="s">
        <v>50</v>
      </c>
      <c r="AM112" s="62" t="s">
        <v>77</v>
      </c>
      <c r="AN112" s="5"/>
      <c r="AO112" s="7"/>
    </row>
    <row r="113" spans="1:41" ht="15.75" customHeight="1" x14ac:dyDescent="0.25">
      <c r="A113" s="4">
        <v>112</v>
      </c>
      <c r="B113" s="5" t="s">
        <v>39</v>
      </c>
      <c r="C113" s="58">
        <v>3.7</v>
      </c>
      <c r="D113" s="61" t="s">
        <v>133</v>
      </c>
      <c r="E113" s="72" t="s">
        <v>134</v>
      </c>
      <c r="F113" s="62" t="s">
        <v>135</v>
      </c>
      <c r="G113" s="8" t="s">
        <v>56</v>
      </c>
      <c r="H113" s="8">
        <v>1781</v>
      </c>
      <c r="I113" s="62" t="s">
        <v>89</v>
      </c>
      <c r="J113" s="62" t="s">
        <v>136</v>
      </c>
      <c r="K113" s="62" t="s">
        <v>136</v>
      </c>
      <c r="L113" s="62" t="s">
        <v>128</v>
      </c>
      <c r="M113" s="62" t="s">
        <v>137</v>
      </c>
      <c r="N113" s="5">
        <v>0</v>
      </c>
      <c r="O113" s="8">
        <v>0</v>
      </c>
      <c r="P113" s="69">
        <v>83000</v>
      </c>
      <c r="Q113" s="69">
        <v>144000</v>
      </c>
      <c r="R113" s="69">
        <v>113500</v>
      </c>
      <c r="S113" s="62" t="s">
        <v>138</v>
      </c>
      <c r="T113" s="8">
        <f t="shared" si="3"/>
        <v>242</v>
      </c>
      <c r="U113" s="8">
        <v>1</v>
      </c>
      <c r="V113" s="8">
        <v>1</v>
      </c>
      <c r="W113" s="8">
        <v>0</v>
      </c>
      <c r="X113" s="8">
        <v>0</v>
      </c>
      <c r="Y113" s="8">
        <v>1</v>
      </c>
      <c r="Z113" s="8">
        <v>0</v>
      </c>
      <c r="AA113" s="8">
        <v>0</v>
      </c>
      <c r="AB113" s="8">
        <v>0</v>
      </c>
      <c r="AC113" s="8">
        <v>0</v>
      </c>
      <c r="AD113" s="8">
        <v>1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62" t="s">
        <v>49</v>
      </c>
      <c r="AL113" s="62" t="s">
        <v>50</v>
      </c>
      <c r="AM113" s="62" t="s">
        <v>51</v>
      </c>
      <c r="AN113" s="5"/>
      <c r="AO113" s="7"/>
    </row>
    <row r="114" spans="1:41" ht="15.75" customHeight="1" x14ac:dyDescent="0.25">
      <c r="A114" s="4">
        <v>113</v>
      </c>
      <c r="B114" s="5" t="s">
        <v>39</v>
      </c>
      <c r="C114" s="58">
        <v>4.5999999999999996</v>
      </c>
      <c r="D114" s="61" t="s">
        <v>109</v>
      </c>
      <c r="E114" s="72" t="s">
        <v>79</v>
      </c>
      <c r="F114" s="62" t="s">
        <v>80</v>
      </c>
      <c r="G114" s="8" t="s">
        <v>81</v>
      </c>
      <c r="H114" s="8">
        <v>2009</v>
      </c>
      <c r="I114" s="62" t="s">
        <v>44</v>
      </c>
      <c r="J114" s="62" t="s">
        <v>110</v>
      </c>
      <c r="K114" s="62" t="s">
        <v>111</v>
      </c>
      <c r="L114" s="62" t="s">
        <v>66</v>
      </c>
      <c r="M114" s="62" t="s">
        <v>112</v>
      </c>
      <c r="N114" s="5">
        <v>0</v>
      </c>
      <c r="O114" s="8">
        <v>0</v>
      </c>
      <c r="P114" s="69">
        <v>120000</v>
      </c>
      <c r="Q114" s="69">
        <v>160000</v>
      </c>
      <c r="R114" s="69">
        <v>140000</v>
      </c>
      <c r="S114" s="62" t="s">
        <v>85</v>
      </c>
      <c r="T114" s="8">
        <f t="shared" si="3"/>
        <v>14</v>
      </c>
      <c r="U114" s="8">
        <v>1</v>
      </c>
      <c r="V114" s="8">
        <v>1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62" t="s">
        <v>49</v>
      </c>
      <c r="AL114" s="62" t="s">
        <v>50</v>
      </c>
      <c r="AM114" s="62" t="s">
        <v>77</v>
      </c>
      <c r="AN114" s="5"/>
      <c r="AO114" s="7"/>
    </row>
    <row r="115" spans="1:41" ht="15.75" customHeight="1" x14ac:dyDescent="0.25">
      <c r="A115" s="4">
        <v>114</v>
      </c>
      <c r="B115" s="5" t="s">
        <v>39</v>
      </c>
      <c r="C115" s="58">
        <v>3.2</v>
      </c>
      <c r="D115" s="61" t="s">
        <v>445</v>
      </c>
      <c r="E115" s="72" t="s">
        <v>98</v>
      </c>
      <c r="F115" s="62" t="s">
        <v>114</v>
      </c>
      <c r="G115" s="8" t="s">
        <v>81</v>
      </c>
      <c r="H115" s="8">
        <v>2015</v>
      </c>
      <c r="I115" s="62" t="s">
        <v>44</v>
      </c>
      <c r="J115" s="62" t="s">
        <v>155</v>
      </c>
      <c r="K115" s="62" t="s">
        <v>111</v>
      </c>
      <c r="L115" s="62" t="s">
        <v>83</v>
      </c>
      <c r="M115" s="62" t="s">
        <v>47</v>
      </c>
      <c r="N115" s="5">
        <v>0</v>
      </c>
      <c r="O115" s="8">
        <v>0</v>
      </c>
      <c r="P115" s="69">
        <v>102000</v>
      </c>
      <c r="Q115" s="69">
        <v>163000</v>
      </c>
      <c r="R115" s="69">
        <v>132500</v>
      </c>
      <c r="S115" s="62" t="s">
        <v>102</v>
      </c>
      <c r="T115" s="8">
        <f t="shared" si="3"/>
        <v>8</v>
      </c>
      <c r="U115" s="8">
        <v>0</v>
      </c>
      <c r="V115" s="8">
        <v>1</v>
      </c>
      <c r="W115" s="8">
        <v>0</v>
      </c>
      <c r="X115" s="8">
        <v>1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1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62" t="s">
        <v>49</v>
      </c>
      <c r="AL115" s="62" t="s">
        <v>50</v>
      </c>
      <c r="AM115" s="62" t="s">
        <v>51</v>
      </c>
      <c r="AN115" s="5"/>
      <c r="AO115" s="7"/>
    </row>
    <row r="116" spans="1:41" ht="15.75" customHeight="1" x14ac:dyDescent="0.25">
      <c r="A116" s="4">
        <v>115</v>
      </c>
      <c r="B116" s="5" t="s">
        <v>224</v>
      </c>
      <c r="C116" s="58">
        <v>4</v>
      </c>
      <c r="D116" s="61" t="s">
        <v>446</v>
      </c>
      <c r="E116" s="72" t="s">
        <v>98</v>
      </c>
      <c r="F116" s="62" t="s">
        <v>447</v>
      </c>
      <c r="G116" s="8" t="s">
        <v>120</v>
      </c>
      <c r="H116" s="8">
        <v>1982</v>
      </c>
      <c r="I116" s="62" t="s">
        <v>89</v>
      </c>
      <c r="J116" s="62" t="s">
        <v>216</v>
      </c>
      <c r="K116" s="62" t="s">
        <v>111</v>
      </c>
      <c r="L116" s="62" t="s">
        <v>60</v>
      </c>
      <c r="M116" s="62" t="s">
        <v>47</v>
      </c>
      <c r="N116" s="5">
        <v>0</v>
      </c>
      <c r="O116" s="8">
        <v>0</v>
      </c>
      <c r="P116" s="69">
        <v>76000</v>
      </c>
      <c r="Q116" s="69">
        <v>140000</v>
      </c>
      <c r="R116" s="69">
        <v>108000</v>
      </c>
      <c r="S116" s="62" t="s">
        <v>102</v>
      </c>
      <c r="T116" s="8">
        <f t="shared" si="3"/>
        <v>41</v>
      </c>
      <c r="U116" s="8">
        <v>1</v>
      </c>
      <c r="V116" s="8">
        <v>1</v>
      </c>
      <c r="W116" s="8">
        <v>0</v>
      </c>
      <c r="X116" s="8">
        <v>0</v>
      </c>
      <c r="Y116" s="8">
        <v>1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62" t="s">
        <v>146</v>
      </c>
      <c r="AL116" s="62" t="s">
        <v>50</v>
      </c>
      <c r="AM116" s="62" t="s">
        <v>51</v>
      </c>
      <c r="AN116" s="5"/>
      <c r="AO116" s="7"/>
    </row>
    <row r="117" spans="1:41" ht="15.75" customHeight="1" x14ac:dyDescent="0.25">
      <c r="A117" s="4">
        <v>116</v>
      </c>
      <c r="B117" s="5" t="s">
        <v>448</v>
      </c>
      <c r="C117" s="58">
        <v>4.5999999999999996</v>
      </c>
      <c r="D117" s="61" t="s">
        <v>449</v>
      </c>
      <c r="E117" s="72" t="s">
        <v>450</v>
      </c>
      <c r="F117" s="62" t="s">
        <v>450</v>
      </c>
      <c r="G117" s="8" t="s">
        <v>43</v>
      </c>
      <c r="H117" s="8">
        <v>1937</v>
      </c>
      <c r="I117" s="62" t="s">
        <v>44</v>
      </c>
      <c r="J117" s="62" t="s">
        <v>451</v>
      </c>
      <c r="K117" s="62" t="s">
        <v>452</v>
      </c>
      <c r="L117" s="62" t="s">
        <v>46</v>
      </c>
      <c r="M117" s="62" t="s">
        <v>47</v>
      </c>
      <c r="N117" s="5">
        <v>0</v>
      </c>
      <c r="O117" s="8">
        <v>0</v>
      </c>
      <c r="P117" s="69">
        <v>60000</v>
      </c>
      <c r="Q117" s="69">
        <v>101000</v>
      </c>
      <c r="R117" s="69">
        <v>80500</v>
      </c>
      <c r="S117" s="62" t="s">
        <v>326</v>
      </c>
      <c r="T117" s="8">
        <f t="shared" si="3"/>
        <v>86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62" t="s">
        <v>49</v>
      </c>
      <c r="AL117" s="62" t="s">
        <v>50</v>
      </c>
      <c r="AM117" s="62" t="s">
        <v>77</v>
      </c>
      <c r="AN117" s="5"/>
      <c r="AO117" s="7"/>
    </row>
    <row r="118" spans="1:41" ht="15.75" customHeight="1" x14ac:dyDescent="0.25">
      <c r="A118" s="4">
        <v>117</v>
      </c>
      <c r="B118" s="5" t="s">
        <v>39</v>
      </c>
      <c r="C118" s="58">
        <v>2.8</v>
      </c>
      <c r="D118" s="61" t="s">
        <v>453</v>
      </c>
      <c r="E118" s="72" t="s">
        <v>454</v>
      </c>
      <c r="F118" s="62" t="s">
        <v>454</v>
      </c>
      <c r="G118" s="8" t="s">
        <v>88</v>
      </c>
      <c r="H118" s="8">
        <v>2000</v>
      </c>
      <c r="I118" s="62" t="s">
        <v>44</v>
      </c>
      <c r="J118" s="62" t="s">
        <v>58</v>
      </c>
      <c r="K118" s="62" t="s">
        <v>59</v>
      </c>
      <c r="L118" s="62" t="s">
        <v>83</v>
      </c>
      <c r="M118" s="62" t="s">
        <v>47</v>
      </c>
      <c r="N118" s="5">
        <v>0</v>
      </c>
      <c r="O118" s="8">
        <v>0</v>
      </c>
      <c r="P118" s="69">
        <v>82000</v>
      </c>
      <c r="Q118" s="69">
        <v>133000</v>
      </c>
      <c r="R118" s="69">
        <v>107500</v>
      </c>
      <c r="S118" s="62" t="s">
        <v>61</v>
      </c>
      <c r="T118" s="8">
        <f t="shared" si="3"/>
        <v>23</v>
      </c>
      <c r="U118" s="8">
        <v>1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62" t="s">
        <v>49</v>
      </c>
      <c r="AL118" s="62" t="s">
        <v>50</v>
      </c>
      <c r="AM118" s="62" t="s">
        <v>51</v>
      </c>
      <c r="AN118" s="5"/>
      <c r="AO118" s="7"/>
    </row>
    <row r="119" spans="1:41" ht="15.75" customHeight="1" x14ac:dyDescent="0.25">
      <c r="A119" s="4">
        <v>118</v>
      </c>
      <c r="B119" s="5" t="s">
        <v>224</v>
      </c>
      <c r="C119" s="58">
        <v>4.7</v>
      </c>
      <c r="D119" s="61" t="s">
        <v>455</v>
      </c>
      <c r="E119" s="72" t="s">
        <v>456</v>
      </c>
      <c r="F119" s="62" t="s">
        <v>456</v>
      </c>
      <c r="G119" s="8" t="s">
        <v>81</v>
      </c>
      <c r="H119" s="8">
        <v>1996</v>
      </c>
      <c r="I119" s="62" t="s">
        <v>44</v>
      </c>
      <c r="J119" s="62" t="s">
        <v>100</v>
      </c>
      <c r="K119" s="62" t="s">
        <v>65</v>
      </c>
      <c r="L119" s="62" t="s">
        <v>101</v>
      </c>
      <c r="M119" s="62" t="s">
        <v>457</v>
      </c>
      <c r="N119" s="5">
        <v>0</v>
      </c>
      <c r="O119" s="8">
        <v>0</v>
      </c>
      <c r="P119" s="69">
        <v>65000</v>
      </c>
      <c r="Q119" s="69">
        <v>125000</v>
      </c>
      <c r="R119" s="69">
        <v>95000</v>
      </c>
      <c r="S119" s="62" t="s">
        <v>458</v>
      </c>
      <c r="T119" s="8">
        <f t="shared" si="3"/>
        <v>27</v>
      </c>
      <c r="U119" s="8">
        <v>0</v>
      </c>
      <c r="V119" s="8">
        <v>1</v>
      </c>
      <c r="W119" s="8">
        <v>1</v>
      </c>
      <c r="X119" s="8">
        <v>0</v>
      </c>
      <c r="Y119" s="8">
        <v>1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1</v>
      </c>
      <c r="AF119" s="8">
        <v>0</v>
      </c>
      <c r="AG119" s="8">
        <v>0</v>
      </c>
      <c r="AH119" s="8">
        <v>1</v>
      </c>
      <c r="AI119" s="8">
        <v>0</v>
      </c>
      <c r="AJ119" s="8">
        <v>0</v>
      </c>
      <c r="AK119" s="62" t="s">
        <v>146</v>
      </c>
      <c r="AL119" s="62" t="s">
        <v>50</v>
      </c>
      <c r="AM119" s="62" t="s">
        <v>77</v>
      </c>
      <c r="AN119" s="5"/>
      <c r="AO119" s="7"/>
    </row>
    <row r="120" spans="1:41" ht="15.75" customHeight="1" x14ac:dyDescent="0.25">
      <c r="A120" s="4">
        <v>119</v>
      </c>
      <c r="B120" s="5" t="s">
        <v>459</v>
      </c>
      <c r="C120" s="58">
        <v>3</v>
      </c>
      <c r="D120" s="61" t="s">
        <v>460</v>
      </c>
      <c r="E120" s="72" t="s">
        <v>461</v>
      </c>
      <c r="F120" s="62" t="s">
        <v>462</v>
      </c>
      <c r="G120" s="8" t="s">
        <v>70</v>
      </c>
      <c r="H120" s="8">
        <v>1997</v>
      </c>
      <c r="I120" s="62" t="s">
        <v>160</v>
      </c>
      <c r="J120" s="62" t="s">
        <v>58</v>
      </c>
      <c r="K120" s="62" t="s">
        <v>59</v>
      </c>
      <c r="L120" s="62" t="s">
        <v>83</v>
      </c>
      <c r="M120" s="62" t="s">
        <v>463</v>
      </c>
      <c r="N120" s="5">
        <v>0</v>
      </c>
      <c r="O120" s="8">
        <v>0</v>
      </c>
      <c r="P120" s="69">
        <v>91000</v>
      </c>
      <c r="Q120" s="69">
        <v>148000</v>
      </c>
      <c r="R120" s="69">
        <v>119500</v>
      </c>
      <c r="S120" s="62" t="s">
        <v>102</v>
      </c>
      <c r="T120" s="8">
        <f t="shared" si="3"/>
        <v>26</v>
      </c>
      <c r="U120" s="8">
        <v>1</v>
      </c>
      <c r="V120" s="8">
        <v>1</v>
      </c>
      <c r="W120" s="8">
        <v>0</v>
      </c>
      <c r="X120" s="8">
        <v>0</v>
      </c>
      <c r="Y120" s="8">
        <v>1</v>
      </c>
      <c r="Z120" s="8">
        <v>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1</v>
      </c>
      <c r="AG120" s="8">
        <v>0</v>
      </c>
      <c r="AH120" s="8">
        <v>0</v>
      </c>
      <c r="AI120" s="8">
        <v>0</v>
      </c>
      <c r="AJ120" s="8">
        <v>0</v>
      </c>
      <c r="AK120" s="62" t="s">
        <v>49</v>
      </c>
      <c r="AL120" s="62" t="s">
        <v>50</v>
      </c>
      <c r="AM120" s="62" t="s">
        <v>51</v>
      </c>
      <c r="AN120" s="5"/>
      <c r="AO120" s="7"/>
    </row>
    <row r="121" spans="1:41" ht="15.75" customHeight="1" x14ac:dyDescent="0.25">
      <c r="A121" s="4">
        <v>120</v>
      </c>
      <c r="B121" s="5" t="s">
        <v>464</v>
      </c>
      <c r="C121" s="58">
        <v>3.2</v>
      </c>
      <c r="D121" s="61" t="s">
        <v>465</v>
      </c>
      <c r="E121" s="72" t="s">
        <v>420</v>
      </c>
      <c r="F121" s="62" t="s">
        <v>466</v>
      </c>
      <c r="G121" s="8" t="s">
        <v>70</v>
      </c>
      <c r="H121" s="8">
        <v>2000</v>
      </c>
      <c r="I121" s="62" t="s">
        <v>44</v>
      </c>
      <c r="J121" s="62" t="s">
        <v>82</v>
      </c>
      <c r="K121" s="62" t="s">
        <v>65</v>
      </c>
      <c r="L121" s="62" t="s">
        <v>91</v>
      </c>
      <c r="M121" s="62" t="s">
        <v>467</v>
      </c>
      <c r="N121" s="5">
        <v>0</v>
      </c>
      <c r="O121" s="8">
        <v>0</v>
      </c>
      <c r="P121" s="69">
        <v>95000</v>
      </c>
      <c r="Q121" s="69">
        <v>173000</v>
      </c>
      <c r="R121" s="69">
        <v>134000</v>
      </c>
      <c r="S121" s="62" t="s">
        <v>423</v>
      </c>
      <c r="T121" s="8">
        <f t="shared" si="3"/>
        <v>23</v>
      </c>
      <c r="U121" s="8">
        <v>0</v>
      </c>
      <c r="V121" s="8">
        <v>1</v>
      </c>
      <c r="W121" s="8">
        <v>1</v>
      </c>
      <c r="X121" s="8">
        <v>0</v>
      </c>
      <c r="Y121" s="8">
        <v>1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62" t="s">
        <v>146</v>
      </c>
      <c r="AL121" s="62" t="s">
        <v>169</v>
      </c>
      <c r="AM121" s="62" t="s">
        <v>77</v>
      </c>
      <c r="AN121" s="5"/>
      <c r="AO121" s="7"/>
    </row>
    <row r="122" spans="1:41" ht="15.75" customHeight="1" x14ac:dyDescent="0.25">
      <c r="A122" s="4">
        <v>121</v>
      </c>
      <c r="B122" s="5" t="s">
        <v>39</v>
      </c>
      <c r="C122" s="58">
        <v>4.4000000000000004</v>
      </c>
      <c r="D122" s="61" t="s">
        <v>468</v>
      </c>
      <c r="E122" s="72" t="s">
        <v>134</v>
      </c>
      <c r="F122" s="62" t="s">
        <v>134</v>
      </c>
      <c r="G122" s="8" t="s">
        <v>88</v>
      </c>
      <c r="H122" s="8">
        <v>1999</v>
      </c>
      <c r="I122" s="62" t="s">
        <v>44</v>
      </c>
      <c r="J122" s="62" t="s">
        <v>155</v>
      </c>
      <c r="K122" s="62" t="s">
        <v>111</v>
      </c>
      <c r="L122" s="62" t="s">
        <v>83</v>
      </c>
      <c r="M122" s="62" t="s">
        <v>47</v>
      </c>
      <c r="N122" s="5">
        <v>0</v>
      </c>
      <c r="O122" s="8">
        <v>0</v>
      </c>
      <c r="P122" s="69">
        <v>77000</v>
      </c>
      <c r="Q122" s="69">
        <v>124000</v>
      </c>
      <c r="R122" s="69">
        <v>100500</v>
      </c>
      <c r="S122" s="62" t="s">
        <v>138</v>
      </c>
      <c r="T122" s="8">
        <f t="shared" si="3"/>
        <v>24</v>
      </c>
      <c r="U122" s="8">
        <v>1</v>
      </c>
      <c r="V122" s="8">
        <v>0</v>
      </c>
      <c r="W122" s="8">
        <v>0</v>
      </c>
      <c r="X122" s="8">
        <v>1</v>
      </c>
      <c r="Y122" s="8">
        <v>1</v>
      </c>
      <c r="Z122" s="8">
        <v>0</v>
      </c>
      <c r="AA122" s="8">
        <v>0</v>
      </c>
      <c r="AB122" s="8">
        <v>0</v>
      </c>
      <c r="AC122" s="8">
        <v>1</v>
      </c>
      <c r="AD122" s="8">
        <v>0</v>
      </c>
      <c r="AE122" s="8">
        <v>0</v>
      </c>
      <c r="AF122" s="8">
        <v>1</v>
      </c>
      <c r="AG122" s="8">
        <v>1</v>
      </c>
      <c r="AH122" s="8">
        <v>0</v>
      </c>
      <c r="AI122" s="8">
        <v>0</v>
      </c>
      <c r="AJ122" s="8">
        <v>0</v>
      </c>
      <c r="AK122" s="62" t="s">
        <v>49</v>
      </c>
      <c r="AL122" s="62" t="s">
        <v>50</v>
      </c>
      <c r="AM122" s="62" t="s">
        <v>77</v>
      </c>
      <c r="AN122" s="5"/>
      <c r="AO122" s="7"/>
    </row>
    <row r="123" spans="1:41" ht="15.75" customHeight="1" x14ac:dyDescent="0.25">
      <c r="A123" s="4">
        <v>122</v>
      </c>
      <c r="B123" s="5" t="s">
        <v>39</v>
      </c>
      <c r="C123" s="58">
        <v>3.5</v>
      </c>
      <c r="D123" s="61" t="s">
        <v>469</v>
      </c>
      <c r="E123" s="72" t="s">
        <v>290</v>
      </c>
      <c r="F123" s="62" t="s">
        <v>290</v>
      </c>
      <c r="G123" s="8" t="s">
        <v>70</v>
      </c>
      <c r="H123" s="8">
        <v>1878</v>
      </c>
      <c r="I123" s="62" t="s">
        <v>89</v>
      </c>
      <c r="J123" s="62" t="s">
        <v>470</v>
      </c>
      <c r="K123" s="62" t="s">
        <v>144</v>
      </c>
      <c r="L123" s="62" t="s">
        <v>74</v>
      </c>
      <c r="M123" s="62" t="s">
        <v>47</v>
      </c>
      <c r="N123" s="5">
        <v>0</v>
      </c>
      <c r="O123" s="8">
        <v>0</v>
      </c>
      <c r="P123" s="69">
        <v>80000</v>
      </c>
      <c r="Q123" s="69">
        <v>135000</v>
      </c>
      <c r="R123" s="69">
        <v>107500</v>
      </c>
      <c r="S123" s="62" t="s">
        <v>258</v>
      </c>
      <c r="T123" s="8">
        <f t="shared" si="3"/>
        <v>145</v>
      </c>
      <c r="U123" s="8">
        <v>1</v>
      </c>
      <c r="V123" s="8">
        <v>0</v>
      </c>
      <c r="W123" s="8">
        <v>0</v>
      </c>
      <c r="X123" s="8">
        <v>0</v>
      </c>
      <c r="Y123" s="8">
        <v>1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1</v>
      </c>
      <c r="AG123" s="8">
        <v>0</v>
      </c>
      <c r="AH123" s="8">
        <v>0</v>
      </c>
      <c r="AI123" s="8">
        <v>0</v>
      </c>
      <c r="AJ123" s="8">
        <v>0</v>
      </c>
      <c r="AK123" s="62" t="s">
        <v>49</v>
      </c>
      <c r="AL123" s="62" t="s">
        <v>50</v>
      </c>
      <c r="AM123" s="62" t="s">
        <v>51</v>
      </c>
      <c r="AN123" s="5"/>
      <c r="AO123" s="7"/>
    </row>
    <row r="124" spans="1:41" ht="15.75" customHeight="1" x14ac:dyDescent="0.25">
      <c r="A124" s="4">
        <v>123</v>
      </c>
      <c r="B124" s="5" t="s">
        <v>224</v>
      </c>
      <c r="C124" s="58">
        <v>4</v>
      </c>
      <c r="D124" s="61" t="s">
        <v>471</v>
      </c>
      <c r="E124" s="72" t="s">
        <v>243</v>
      </c>
      <c r="F124" s="62" t="s">
        <v>243</v>
      </c>
      <c r="G124" s="8" t="s">
        <v>81</v>
      </c>
      <c r="H124" s="8">
        <v>2015</v>
      </c>
      <c r="I124" s="62" t="s">
        <v>44</v>
      </c>
      <c r="J124" s="62" t="s">
        <v>110</v>
      </c>
      <c r="K124" s="62" t="s">
        <v>111</v>
      </c>
      <c r="L124" s="62" t="s">
        <v>83</v>
      </c>
      <c r="M124" s="62" t="s">
        <v>47</v>
      </c>
      <c r="N124" s="5">
        <v>0</v>
      </c>
      <c r="O124" s="8">
        <v>0</v>
      </c>
      <c r="P124" s="69">
        <v>85000</v>
      </c>
      <c r="Q124" s="69">
        <v>159000</v>
      </c>
      <c r="R124" s="69">
        <v>122000</v>
      </c>
      <c r="S124" s="62" t="s">
        <v>245</v>
      </c>
      <c r="T124" s="8">
        <f t="shared" si="3"/>
        <v>8</v>
      </c>
      <c r="U124" s="8">
        <v>1</v>
      </c>
      <c r="V124" s="8">
        <v>1</v>
      </c>
      <c r="W124" s="8">
        <v>1</v>
      </c>
      <c r="X124" s="8">
        <v>0</v>
      </c>
      <c r="Y124" s="8">
        <v>1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62" t="s">
        <v>146</v>
      </c>
      <c r="AL124" s="62" t="s">
        <v>50</v>
      </c>
      <c r="AM124" s="62" t="s">
        <v>77</v>
      </c>
      <c r="AN124" s="5"/>
      <c r="AO124" s="7"/>
    </row>
    <row r="125" spans="1:41" ht="15.75" customHeight="1" x14ac:dyDescent="0.25">
      <c r="A125" s="4">
        <v>124</v>
      </c>
      <c r="B125" s="5" t="s">
        <v>224</v>
      </c>
      <c r="C125" s="58">
        <v>4.3</v>
      </c>
      <c r="D125" s="61" t="s">
        <v>240</v>
      </c>
      <c r="E125" s="72" t="s">
        <v>172</v>
      </c>
      <c r="F125" s="62" t="s">
        <v>172</v>
      </c>
      <c r="G125" s="8" t="s">
        <v>70</v>
      </c>
      <c r="H125" s="8">
        <v>1993</v>
      </c>
      <c r="I125" s="62" t="s">
        <v>89</v>
      </c>
      <c r="J125" s="62" t="s">
        <v>90</v>
      </c>
      <c r="K125" s="62" t="s">
        <v>90</v>
      </c>
      <c r="L125" s="62" t="s">
        <v>60</v>
      </c>
      <c r="M125" s="62" t="s">
        <v>241</v>
      </c>
      <c r="N125" s="5">
        <v>0</v>
      </c>
      <c r="O125" s="8">
        <v>0</v>
      </c>
      <c r="P125" s="69">
        <v>80000</v>
      </c>
      <c r="Q125" s="69">
        <v>105000</v>
      </c>
      <c r="R125" s="69">
        <v>92500</v>
      </c>
      <c r="S125" s="62" t="s">
        <v>176</v>
      </c>
      <c r="T125" s="8">
        <f t="shared" si="3"/>
        <v>30</v>
      </c>
      <c r="U125" s="8">
        <v>1</v>
      </c>
      <c r="V125" s="8">
        <v>1</v>
      </c>
      <c r="W125" s="8">
        <v>0</v>
      </c>
      <c r="X125" s="8">
        <v>1</v>
      </c>
      <c r="Y125" s="8">
        <v>1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1</v>
      </c>
      <c r="AF125" s="8">
        <v>0</v>
      </c>
      <c r="AG125" s="8">
        <v>0</v>
      </c>
      <c r="AH125" s="8">
        <v>0</v>
      </c>
      <c r="AI125" s="8">
        <v>1</v>
      </c>
      <c r="AJ125" s="8">
        <v>0</v>
      </c>
      <c r="AK125" s="62" t="s">
        <v>146</v>
      </c>
      <c r="AL125" s="62" t="s">
        <v>50</v>
      </c>
      <c r="AM125" s="62" t="s">
        <v>77</v>
      </c>
      <c r="AN125" s="5"/>
      <c r="AO125" s="7"/>
    </row>
    <row r="126" spans="1:41" ht="15.75" customHeight="1" x14ac:dyDescent="0.25">
      <c r="A126" s="4">
        <v>125</v>
      </c>
      <c r="B126" s="5" t="s">
        <v>130</v>
      </c>
      <c r="C126" s="58">
        <v>2.2999999999999998</v>
      </c>
      <c r="D126" s="61" t="s">
        <v>472</v>
      </c>
      <c r="E126" s="72" t="s">
        <v>55</v>
      </c>
      <c r="F126" s="62" t="s">
        <v>55</v>
      </c>
      <c r="G126" s="8" t="s">
        <v>43</v>
      </c>
      <c r="H126" s="8">
        <v>1986</v>
      </c>
      <c r="I126" s="62" t="s">
        <v>44</v>
      </c>
      <c r="J126" s="62" t="s">
        <v>121</v>
      </c>
      <c r="K126" s="62" t="s">
        <v>65</v>
      </c>
      <c r="L126" s="62" t="s">
        <v>66</v>
      </c>
      <c r="M126" s="62" t="s">
        <v>47</v>
      </c>
      <c r="N126" s="5">
        <v>0</v>
      </c>
      <c r="O126" s="8">
        <v>0</v>
      </c>
      <c r="P126" s="69">
        <v>43000</v>
      </c>
      <c r="Q126" s="69">
        <v>81000</v>
      </c>
      <c r="R126" s="69">
        <v>62000</v>
      </c>
      <c r="S126" s="62" t="s">
        <v>61</v>
      </c>
      <c r="T126" s="8">
        <f t="shared" si="3"/>
        <v>37</v>
      </c>
      <c r="U126" s="8">
        <v>0</v>
      </c>
      <c r="V126" s="8">
        <v>0</v>
      </c>
      <c r="W126" s="8">
        <v>0</v>
      </c>
      <c r="X126" s="8">
        <v>1</v>
      </c>
      <c r="Y126" s="8">
        <v>1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62" t="s">
        <v>132</v>
      </c>
      <c r="AL126" s="62" t="s">
        <v>50</v>
      </c>
      <c r="AM126" s="62" t="s">
        <v>77</v>
      </c>
      <c r="AN126" s="5"/>
      <c r="AO126" s="7"/>
    </row>
    <row r="127" spans="1:41" ht="15.75" customHeight="1" x14ac:dyDescent="0.25">
      <c r="A127" s="4">
        <v>126</v>
      </c>
      <c r="B127" s="5" t="s">
        <v>473</v>
      </c>
      <c r="C127" s="58">
        <v>4</v>
      </c>
      <c r="D127" s="61" t="s">
        <v>474</v>
      </c>
      <c r="E127" s="72" t="s">
        <v>475</v>
      </c>
      <c r="F127" s="62" t="s">
        <v>476</v>
      </c>
      <c r="G127" s="8" t="s">
        <v>81</v>
      </c>
      <c r="H127" s="8">
        <v>2000</v>
      </c>
      <c r="I127" s="62" t="s">
        <v>57</v>
      </c>
      <c r="J127" s="62" t="s">
        <v>477</v>
      </c>
      <c r="K127" s="62" t="s">
        <v>65</v>
      </c>
      <c r="L127" s="62" t="s">
        <v>101</v>
      </c>
      <c r="M127" s="62" t="s">
        <v>47</v>
      </c>
      <c r="N127" s="5">
        <v>0</v>
      </c>
      <c r="O127" s="8">
        <v>0</v>
      </c>
      <c r="P127" s="69">
        <v>29000</v>
      </c>
      <c r="Q127" s="69">
        <v>50000</v>
      </c>
      <c r="R127" s="69">
        <v>39500</v>
      </c>
      <c r="S127" s="62" t="s">
        <v>274</v>
      </c>
      <c r="T127" s="8">
        <f t="shared" si="3"/>
        <v>23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62" t="s">
        <v>107</v>
      </c>
      <c r="AL127" s="62" t="s">
        <v>50</v>
      </c>
      <c r="AM127" s="62" t="s">
        <v>77</v>
      </c>
      <c r="AN127" s="5"/>
      <c r="AO127" s="7"/>
    </row>
    <row r="128" spans="1:41" ht="15.75" customHeight="1" x14ac:dyDescent="0.25">
      <c r="A128" s="4">
        <v>127</v>
      </c>
      <c r="B128" s="5" t="s">
        <v>39</v>
      </c>
      <c r="C128" s="58">
        <v>3.6</v>
      </c>
      <c r="D128" s="61" t="s">
        <v>478</v>
      </c>
      <c r="E128" s="72" t="s">
        <v>479</v>
      </c>
      <c r="F128" s="62" t="s">
        <v>480</v>
      </c>
      <c r="G128" s="8" t="s">
        <v>70</v>
      </c>
      <c r="H128" s="8">
        <v>1966</v>
      </c>
      <c r="I128" s="62" t="s">
        <v>44</v>
      </c>
      <c r="J128" s="62" t="s">
        <v>481</v>
      </c>
      <c r="K128" s="62" t="s">
        <v>427</v>
      </c>
      <c r="L128" s="62" t="s">
        <v>66</v>
      </c>
      <c r="M128" s="62" t="s">
        <v>47</v>
      </c>
      <c r="N128" s="5">
        <v>0</v>
      </c>
      <c r="O128" s="8">
        <v>0</v>
      </c>
      <c r="P128" s="69">
        <v>82000</v>
      </c>
      <c r="Q128" s="69">
        <v>133000</v>
      </c>
      <c r="R128" s="69">
        <v>107500</v>
      </c>
      <c r="S128" s="62" t="s">
        <v>102</v>
      </c>
      <c r="T128" s="8">
        <f t="shared" si="3"/>
        <v>57</v>
      </c>
      <c r="U128" s="8">
        <v>0</v>
      </c>
      <c r="V128" s="8">
        <v>0</v>
      </c>
      <c r="W128" s="8">
        <v>0</v>
      </c>
      <c r="X128" s="8">
        <v>1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1</v>
      </c>
      <c r="AG128" s="8">
        <v>0</v>
      </c>
      <c r="AH128" s="8">
        <v>0</v>
      </c>
      <c r="AI128" s="8">
        <v>0</v>
      </c>
      <c r="AJ128" s="8">
        <v>1</v>
      </c>
      <c r="AK128" s="62" t="s">
        <v>49</v>
      </c>
      <c r="AL128" s="62" t="s">
        <v>50</v>
      </c>
      <c r="AM128" s="62" t="s">
        <v>51</v>
      </c>
      <c r="AN128" s="5"/>
      <c r="AO128" s="7"/>
    </row>
    <row r="129" spans="1:41" ht="15.75" customHeight="1" x14ac:dyDescent="0.25">
      <c r="A129" s="4">
        <v>128</v>
      </c>
      <c r="B129" s="5" t="s">
        <v>482</v>
      </c>
      <c r="C129" s="58">
        <v>3.8</v>
      </c>
      <c r="D129" s="61" t="s">
        <v>483</v>
      </c>
      <c r="E129" s="72" t="s">
        <v>484</v>
      </c>
      <c r="F129" s="62" t="s">
        <v>485</v>
      </c>
      <c r="G129" s="8" t="s">
        <v>43</v>
      </c>
      <c r="H129" s="8">
        <v>2017</v>
      </c>
      <c r="I129" s="62" t="s">
        <v>44</v>
      </c>
      <c r="J129" s="62" t="s">
        <v>317</v>
      </c>
      <c r="K129" s="62" t="s">
        <v>65</v>
      </c>
      <c r="L129" s="62" t="s">
        <v>83</v>
      </c>
      <c r="M129" s="62" t="s">
        <v>47</v>
      </c>
      <c r="N129" s="5">
        <v>0</v>
      </c>
      <c r="O129" s="8">
        <v>0</v>
      </c>
      <c r="P129" s="69">
        <v>26000</v>
      </c>
      <c r="Q129" s="69">
        <v>55000</v>
      </c>
      <c r="R129" s="69">
        <v>40500</v>
      </c>
      <c r="S129" s="62" t="s">
        <v>288</v>
      </c>
      <c r="T129" s="8">
        <f t="shared" si="3"/>
        <v>6</v>
      </c>
      <c r="U129" s="8">
        <v>1</v>
      </c>
      <c r="V129" s="8">
        <v>0</v>
      </c>
      <c r="W129" s="8">
        <v>1</v>
      </c>
      <c r="X129" s="8">
        <v>1</v>
      </c>
      <c r="Y129" s="8">
        <v>1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1</v>
      </c>
      <c r="AG129" s="8">
        <v>0</v>
      </c>
      <c r="AH129" s="8">
        <v>0</v>
      </c>
      <c r="AI129" s="8">
        <v>0</v>
      </c>
      <c r="AJ129" s="8">
        <v>0</v>
      </c>
      <c r="AK129" s="62" t="s">
        <v>486</v>
      </c>
      <c r="AL129" s="62" t="s">
        <v>50</v>
      </c>
      <c r="AM129" s="62" t="s">
        <v>77</v>
      </c>
      <c r="AN129" s="5"/>
      <c r="AO129" s="7"/>
    </row>
    <row r="130" spans="1:41" ht="15.75" customHeight="1" x14ac:dyDescent="0.25">
      <c r="A130" s="4">
        <v>129</v>
      </c>
      <c r="B130" s="5" t="s">
        <v>487</v>
      </c>
      <c r="C130" s="58">
        <v>3.7</v>
      </c>
      <c r="D130" s="61" t="s">
        <v>247</v>
      </c>
      <c r="E130" s="72" t="s">
        <v>488</v>
      </c>
      <c r="F130" s="62" t="s">
        <v>249</v>
      </c>
      <c r="G130" s="8" t="s">
        <v>56</v>
      </c>
      <c r="H130" s="8">
        <v>1958</v>
      </c>
      <c r="I130" s="62" t="s">
        <v>89</v>
      </c>
      <c r="J130" s="62" t="s">
        <v>213</v>
      </c>
      <c r="K130" s="62" t="s">
        <v>111</v>
      </c>
      <c r="L130" s="62" t="s">
        <v>128</v>
      </c>
      <c r="M130" s="62" t="s">
        <v>250</v>
      </c>
      <c r="N130" s="5">
        <v>0</v>
      </c>
      <c r="O130" s="8">
        <v>0</v>
      </c>
      <c r="P130" s="69">
        <v>61000</v>
      </c>
      <c r="Q130" s="69">
        <v>118000</v>
      </c>
      <c r="R130" s="69">
        <v>89500</v>
      </c>
      <c r="S130" s="62" t="s">
        <v>122</v>
      </c>
      <c r="T130" s="8">
        <f t="shared" si="3"/>
        <v>65</v>
      </c>
      <c r="U130" s="8">
        <v>1</v>
      </c>
      <c r="V130" s="8">
        <v>1</v>
      </c>
      <c r="W130" s="8">
        <v>0</v>
      </c>
      <c r="X130" s="8">
        <v>0</v>
      </c>
      <c r="Y130" s="8">
        <v>1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1</v>
      </c>
      <c r="AF130" s="8">
        <v>1</v>
      </c>
      <c r="AG130" s="8">
        <v>0</v>
      </c>
      <c r="AH130" s="8">
        <v>0</v>
      </c>
      <c r="AI130" s="8">
        <v>0</v>
      </c>
      <c r="AJ130" s="8">
        <v>0</v>
      </c>
      <c r="AK130" s="62" t="s">
        <v>49</v>
      </c>
      <c r="AL130" s="62" t="s">
        <v>169</v>
      </c>
      <c r="AM130" s="62" t="s">
        <v>51</v>
      </c>
      <c r="AN130" s="5"/>
      <c r="AO130" s="7"/>
    </row>
    <row r="131" spans="1:41" ht="15.75" customHeight="1" x14ac:dyDescent="0.25">
      <c r="A131" s="4">
        <v>130</v>
      </c>
      <c r="B131" s="5" t="s">
        <v>39</v>
      </c>
      <c r="C131" s="58">
        <v>4.4000000000000004</v>
      </c>
      <c r="D131" s="61" t="s">
        <v>489</v>
      </c>
      <c r="E131" s="72" t="s">
        <v>172</v>
      </c>
      <c r="F131" s="62" t="s">
        <v>172</v>
      </c>
      <c r="G131" s="8" t="s">
        <v>88</v>
      </c>
      <c r="H131" s="8">
        <v>2008</v>
      </c>
      <c r="I131" s="62" t="s">
        <v>44</v>
      </c>
      <c r="J131" s="62" t="s">
        <v>100</v>
      </c>
      <c r="K131" s="62" t="s">
        <v>65</v>
      </c>
      <c r="L131" s="62" t="s">
        <v>46</v>
      </c>
      <c r="M131" s="62" t="s">
        <v>47</v>
      </c>
      <c r="N131" s="5">
        <v>0</v>
      </c>
      <c r="O131" s="8">
        <v>0</v>
      </c>
      <c r="P131" s="69">
        <v>60000</v>
      </c>
      <c r="Q131" s="69">
        <v>102000</v>
      </c>
      <c r="R131" s="69">
        <v>81000</v>
      </c>
      <c r="S131" s="62" t="s">
        <v>176</v>
      </c>
      <c r="T131" s="8">
        <f t="shared" si="3"/>
        <v>15</v>
      </c>
      <c r="U131" s="8">
        <v>1</v>
      </c>
      <c r="V131" s="8">
        <v>0</v>
      </c>
      <c r="W131" s="8">
        <v>1</v>
      </c>
      <c r="X131" s="8">
        <v>1</v>
      </c>
      <c r="Y131" s="8">
        <v>1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</v>
      </c>
      <c r="AF131" s="8">
        <v>1</v>
      </c>
      <c r="AG131" s="8">
        <v>0</v>
      </c>
      <c r="AH131" s="8">
        <v>0</v>
      </c>
      <c r="AI131" s="8">
        <v>0</v>
      </c>
      <c r="AJ131" s="8">
        <v>0</v>
      </c>
      <c r="AK131" s="62" t="s">
        <v>49</v>
      </c>
      <c r="AL131" s="62" t="s">
        <v>50</v>
      </c>
      <c r="AM131" s="62" t="s">
        <v>77</v>
      </c>
      <c r="AN131" s="5"/>
      <c r="AO131" s="7"/>
    </row>
    <row r="132" spans="1:41" ht="15.75" customHeight="1" x14ac:dyDescent="0.25">
      <c r="A132" s="4">
        <v>131</v>
      </c>
      <c r="B132" s="5" t="s">
        <v>220</v>
      </c>
      <c r="C132" s="58">
        <v>4</v>
      </c>
      <c r="D132" s="61" t="s">
        <v>182</v>
      </c>
      <c r="E132" s="72" t="s">
        <v>119</v>
      </c>
      <c r="F132" s="62" t="s">
        <v>183</v>
      </c>
      <c r="G132" s="8" t="s">
        <v>43</v>
      </c>
      <c r="H132" s="8">
        <v>2012</v>
      </c>
      <c r="I132" s="62" t="s">
        <v>44</v>
      </c>
      <c r="J132" s="62" t="s">
        <v>155</v>
      </c>
      <c r="K132" s="62" t="s">
        <v>111</v>
      </c>
      <c r="L132" s="62" t="s">
        <v>66</v>
      </c>
      <c r="M132" s="62" t="s">
        <v>184</v>
      </c>
      <c r="N132" s="5">
        <v>0</v>
      </c>
      <c r="O132" s="8">
        <v>0</v>
      </c>
      <c r="P132" s="69">
        <v>112000</v>
      </c>
      <c r="Q132" s="69">
        <v>182000</v>
      </c>
      <c r="R132" s="69">
        <v>147000</v>
      </c>
      <c r="S132" s="62" t="s">
        <v>122</v>
      </c>
      <c r="T132" s="8">
        <f t="shared" si="3"/>
        <v>11</v>
      </c>
      <c r="U132" s="8">
        <v>1</v>
      </c>
      <c r="V132" s="8">
        <v>0</v>
      </c>
      <c r="W132" s="8">
        <v>1</v>
      </c>
      <c r="X132" s="8">
        <v>0</v>
      </c>
      <c r="Y132" s="8">
        <v>0</v>
      </c>
      <c r="Z132" s="8">
        <v>0</v>
      </c>
      <c r="AA132" s="8">
        <v>1</v>
      </c>
      <c r="AB132" s="8">
        <v>0</v>
      </c>
      <c r="AC132" s="8">
        <v>0</v>
      </c>
      <c r="AD132" s="8">
        <v>1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62" t="s">
        <v>49</v>
      </c>
      <c r="AL132" s="62" t="s">
        <v>169</v>
      </c>
      <c r="AM132" s="62" t="s">
        <v>77</v>
      </c>
      <c r="AN132" s="5"/>
      <c r="AO132" s="7"/>
    </row>
    <row r="133" spans="1:41" ht="15.75" customHeight="1" x14ac:dyDescent="0.25">
      <c r="A133" s="4">
        <v>132</v>
      </c>
      <c r="B133" s="5" t="s">
        <v>39</v>
      </c>
      <c r="C133" s="58">
        <v>3.2</v>
      </c>
      <c r="D133" s="61" t="s">
        <v>490</v>
      </c>
      <c r="E133" s="72" t="s">
        <v>491</v>
      </c>
      <c r="F133" s="62" t="s">
        <v>492</v>
      </c>
      <c r="G133" s="8" t="s">
        <v>70</v>
      </c>
      <c r="H133" s="8">
        <v>1958</v>
      </c>
      <c r="I133" s="62" t="s">
        <v>44</v>
      </c>
      <c r="J133" s="62" t="s">
        <v>493</v>
      </c>
      <c r="K133" s="62" t="s">
        <v>96</v>
      </c>
      <c r="L133" s="62" t="s">
        <v>66</v>
      </c>
      <c r="M133" s="62" t="s">
        <v>494</v>
      </c>
      <c r="N133" s="5">
        <v>0</v>
      </c>
      <c r="O133" s="8">
        <v>0</v>
      </c>
      <c r="P133" s="69">
        <v>64000</v>
      </c>
      <c r="Q133" s="69">
        <v>106000</v>
      </c>
      <c r="R133" s="69">
        <v>85000</v>
      </c>
      <c r="S133" s="62" t="s">
        <v>93</v>
      </c>
      <c r="T133" s="8">
        <f t="shared" si="3"/>
        <v>65</v>
      </c>
      <c r="U133" s="8">
        <v>1</v>
      </c>
      <c r="V133" s="8">
        <v>0</v>
      </c>
      <c r="W133" s="8">
        <v>0</v>
      </c>
      <c r="X133" s="8">
        <v>1</v>
      </c>
      <c r="Y133" s="8">
        <v>1</v>
      </c>
      <c r="Z133" s="8">
        <v>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1</v>
      </c>
      <c r="AG133" s="8">
        <v>1</v>
      </c>
      <c r="AH133" s="8">
        <v>0</v>
      </c>
      <c r="AI133" s="8">
        <v>0</v>
      </c>
      <c r="AJ133" s="8">
        <v>0</v>
      </c>
      <c r="AK133" s="62" t="s">
        <v>49</v>
      </c>
      <c r="AL133" s="62" t="s">
        <v>50</v>
      </c>
      <c r="AM133" s="62" t="s">
        <v>77</v>
      </c>
      <c r="AN133" s="5"/>
      <c r="AO133" s="7"/>
    </row>
    <row r="134" spans="1:41" ht="15.75" customHeight="1" x14ac:dyDescent="0.25">
      <c r="A134" s="4">
        <v>133</v>
      </c>
      <c r="B134" s="5" t="s">
        <v>495</v>
      </c>
      <c r="C134" s="58">
        <v>2.9</v>
      </c>
      <c r="D134" s="61" t="s">
        <v>496</v>
      </c>
      <c r="E134" s="72" t="s">
        <v>497</v>
      </c>
      <c r="F134" s="62" t="s">
        <v>498</v>
      </c>
      <c r="G134" s="8" t="s">
        <v>70</v>
      </c>
      <c r="H134" s="8">
        <v>1971</v>
      </c>
      <c r="I134" s="62" t="s">
        <v>44</v>
      </c>
      <c r="J134" s="62" t="s">
        <v>499</v>
      </c>
      <c r="K134" s="62" t="s">
        <v>427</v>
      </c>
      <c r="L134" s="62" t="s">
        <v>91</v>
      </c>
      <c r="M134" s="62" t="s">
        <v>500</v>
      </c>
      <c r="N134" s="5">
        <v>0</v>
      </c>
      <c r="O134" s="8">
        <v>0</v>
      </c>
      <c r="P134" s="69">
        <v>51000</v>
      </c>
      <c r="Q134" s="69">
        <v>112000</v>
      </c>
      <c r="R134" s="69">
        <v>81500</v>
      </c>
      <c r="S134" s="62" t="s">
        <v>102</v>
      </c>
      <c r="T134" s="8">
        <f t="shared" si="3"/>
        <v>52</v>
      </c>
      <c r="U134" s="8">
        <v>0</v>
      </c>
      <c r="V134" s="8">
        <v>0</v>
      </c>
      <c r="W134" s="8">
        <v>0</v>
      </c>
      <c r="X134" s="8">
        <v>1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62" t="s">
        <v>107</v>
      </c>
      <c r="AL134" s="62" t="s">
        <v>50</v>
      </c>
      <c r="AM134" s="62" t="s">
        <v>51</v>
      </c>
      <c r="AN134" s="5"/>
      <c r="AO134" s="7"/>
    </row>
    <row r="135" spans="1:41" ht="15.75" customHeight="1" x14ac:dyDescent="0.25">
      <c r="A135" s="4">
        <v>134</v>
      </c>
      <c r="B135" s="5" t="s">
        <v>501</v>
      </c>
      <c r="C135" s="58">
        <v>3.8</v>
      </c>
      <c r="D135" s="61" t="s">
        <v>502</v>
      </c>
      <c r="E135" s="72" t="s">
        <v>503</v>
      </c>
      <c r="F135" s="62" t="s">
        <v>447</v>
      </c>
      <c r="G135" s="8" t="s">
        <v>70</v>
      </c>
      <c r="H135" s="8">
        <v>1997</v>
      </c>
      <c r="I135" s="62" t="s">
        <v>89</v>
      </c>
      <c r="J135" s="62" t="s">
        <v>136</v>
      </c>
      <c r="K135" s="62" t="s">
        <v>136</v>
      </c>
      <c r="L135" s="62" t="s">
        <v>74</v>
      </c>
      <c r="M135" s="62" t="s">
        <v>504</v>
      </c>
      <c r="N135" s="5">
        <v>0</v>
      </c>
      <c r="O135" s="8">
        <v>0</v>
      </c>
      <c r="P135" s="69">
        <v>113000</v>
      </c>
      <c r="Q135" s="69">
        <v>223000</v>
      </c>
      <c r="R135" s="69">
        <v>168000</v>
      </c>
      <c r="S135" s="62" t="s">
        <v>102</v>
      </c>
      <c r="T135" s="8">
        <f t="shared" si="3"/>
        <v>26</v>
      </c>
      <c r="U135" s="8">
        <v>0</v>
      </c>
      <c r="V135" s="8">
        <v>0</v>
      </c>
      <c r="W135" s="8">
        <v>0</v>
      </c>
      <c r="X135" s="8">
        <v>1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62" t="s">
        <v>107</v>
      </c>
      <c r="AL135" s="62" t="s">
        <v>50</v>
      </c>
      <c r="AM135" s="62" t="s">
        <v>108</v>
      </c>
      <c r="AN135" s="5"/>
      <c r="AO135" s="7"/>
    </row>
    <row r="136" spans="1:41" ht="15.75" customHeight="1" x14ac:dyDescent="0.25">
      <c r="A136" s="4">
        <v>135</v>
      </c>
      <c r="B136" s="5" t="s">
        <v>505</v>
      </c>
      <c r="C136" s="58">
        <v>4.3</v>
      </c>
      <c r="D136" s="61" t="s">
        <v>506</v>
      </c>
      <c r="E136" s="72" t="s">
        <v>507</v>
      </c>
      <c r="F136" s="62" t="s">
        <v>507</v>
      </c>
      <c r="G136" s="8">
        <v>500</v>
      </c>
      <c r="H136" s="8">
        <v>2007</v>
      </c>
      <c r="I136" s="62" t="s">
        <v>44</v>
      </c>
      <c r="J136" s="62" t="s">
        <v>45</v>
      </c>
      <c r="K136" s="62" t="s">
        <v>45</v>
      </c>
      <c r="L136" s="62" t="s">
        <v>83</v>
      </c>
      <c r="M136" s="62" t="s">
        <v>47</v>
      </c>
      <c r="N136" s="5">
        <v>0</v>
      </c>
      <c r="O136" s="8">
        <v>0</v>
      </c>
      <c r="P136" s="69">
        <v>72000</v>
      </c>
      <c r="Q136" s="69">
        <v>129000</v>
      </c>
      <c r="R136" s="69">
        <v>100500</v>
      </c>
      <c r="S136" s="62" t="s">
        <v>163</v>
      </c>
      <c r="T136" s="8">
        <f t="shared" si="3"/>
        <v>16</v>
      </c>
      <c r="U136" s="8">
        <v>1</v>
      </c>
      <c r="V136" s="8">
        <v>1</v>
      </c>
      <c r="W136" s="8">
        <v>1</v>
      </c>
      <c r="X136" s="8">
        <v>1</v>
      </c>
      <c r="Y136" s="8">
        <v>1</v>
      </c>
      <c r="Z136" s="8">
        <v>0</v>
      </c>
      <c r="AA136" s="8">
        <v>0</v>
      </c>
      <c r="AB136" s="8">
        <v>0</v>
      </c>
      <c r="AC136" s="8">
        <v>0</v>
      </c>
      <c r="AD136" s="8">
        <v>1</v>
      </c>
      <c r="AE136" s="8">
        <v>1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62" t="s">
        <v>508</v>
      </c>
      <c r="AL136" s="62" t="s">
        <v>50</v>
      </c>
      <c r="AM136" s="62" t="s">
        <v>77</v>
      </c>
      <c r="AN136" s="5"/>
      <c r="AO136" s="7"/>
    </row>
    <row r="137" spans="1:41" ht="15.75" customHeight="1" x14ac:dyDescent="0.25">
      <c r="A137" s="4">
        <v>136</v>
      </c>
      <c r="B137" s="5" t="s">
        <v>509</v>
      </c>
      <c r="C137" s="58">
        <v>3.4</v>
      </c>
      <c r="D137" s="61" t="s">
        <v>510</v>
      </c>
      <c r="E137" s="72" t="s">
        <v>79</v>
      </c>
      <c r="F137" s="62" t="s">
        <v>511</v>
      </c>
      <c r="G137" s="8" t="s">
        <v>70</v>
      </c>
      <c r="H137" s="8">
        <v>1943</v>
      </c>
      <c r="I137" s="62" t="s">
        <v>44</v>
      </c>
      <c r="J137" s="62" t="s">
        <v>100</v>
      </c>
      <c r="K137" s="62" t="s">
        <v>65</v>
      </c>
      <c r="L137" s="62" t="s">
        <v>66</v>
      </c>
      <c r="M137" s="62" t="s">
        <v>512</v>
      </c>
      <c r="N137" s="5">
        <v>0</v>
      </c>
      <c r="O137" s="8">
        <v>0</v>
      </c>
      <c r="P137" s="69">
        <v>71000</v>
      </c>
      <c r="Q137" s="69">
        <v>123000</v>
      </c>
      <c r="R137" s="69">
        <v>97000</v>
      </c>
      <c r="S137" s="62" t="s">
        <v>85</v>
      </c>
      <c r="T137" s="8">
        <f t="shared" si="3"/>
        <v>80</v>
      </c>
      <c r="U137" s="8">
        <v>1</v>
      </c>
      <c r="V137" s="8">
        <v>1</v>
      </c>
      <c r="W137" s="8">
        <v>0</v>
      </c>
      <c r="X137" s="8">
        <v>1</v>
      </c>
      <c r="Y137" s="8">
        <v>1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1</v>
      </c>
      <c r="AF137" s="8">
        <v>1</v>
      </c>
      <c r="AG137" s="8">
        <v>0</v>
      </c>
      <c r="AH137" s="8">
        <v>0</v>
      </c>
      <c r="AI137" s="8">
        <v>1</v>
      </c>
      <c r="AJ137" s="8">
        <v>0</v>
      </c>
      <c r="AK137" s="62" t="s">
        <v>49</v>
      </c>
      <c r="AL137" s="62" t="s">
        <v>50</v>
      </c>
      <c r="AM137" s="62" t="s">
        <v>51</v>
      </c>
      <c r="AN137" s="5"/>
      <c r="AO137" s="7"/>
    </row>
    <row r="138" spans="1:41" ht="15.75" customHeight="1" x14ac:dyDescent="0.25">
      <c r="A138" s="4">
        <v>137</v>
      </c>
      <c r="B138" s="5" t="s">
        <v>39</v>
      </c>
      <c r="C138" s="58">
        <v>4.0999999999999996</v>
      </c>
      <c r="D138" s="61" t="s">
        <v>117</v>
      </c>
      <c r="E138" s="72" t="s">
        <v>118</v>
      </c>
      <c r="F138" s="62" t="s">
        <v>119</v>
      </c>
      <c r="G138" s="8" t="s">
        <v>120</v>
      </c>
      <c r="H138" s="8">
        <v>1968</v>
      </c>
      <c r="I138" s="62" t="s">
        <v>89</v>
      </c>
      <c r="J138" s="62" t="s">
        <v>121</v>
      </c>
      <c r="K138" s="62" t="s">
        <v>65</v>
      </c>
      <c r="L138" s="62" t="s">
        <v>91</v>
      </c>
      <c r="M138" s="62" t="s">
        <v>47</v>
      </c>
      <c r="N138" s="5">
        <v>0</v>
      </c>
      <c r="O138" s="8">
        <v>0</v>
      </c>
      <c r="P138" s="69">
        <v>64000</v>
      </c>
      <c r="Q138" s="69">
        <v>106000</v>
      </c>
      <c r="R138" s="69">
        <v>85000</v>
      </c>
      <c r="S138" s="62" t="s">
        <v>122</v>
      </c>
      <c r="T138" s="8">
        <f t="shared" si="3"/>
        <v>55</v>
      </c>
      <c r="U138" s="8">
        <v>0</v>
      </c>
      <c r="V138" s="8">
        <v>0</v>
      </c>
      <c r="W138" s="8">
        <v>0</v>
      </c>
      <c r="X138" s="8">
        <v>0</v>
      </c>
      <c r="Y138" s="8">
        <v>1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1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62" t="s">
        <v>49</v>
      </c>
      <c r="AL138" s="62" t="s">
        <v>50</v>
      </c>
      <c r="AM138" s="62" t="s">
        <v>77</v>
      </c>
      <c r="AN138" s="5"/>
      <c r="AO138" s="7"/>
    </row>
    <row r="139" spans="1:41" ht="15.75" customHeight="1" x14ac:dyDescent="0.25">
      <c r="A139" s="4">
        <v>138</v>
      </c>
      <c r="B139" s="5" t="s">
        <v>151</v>
      </c>
      <c r="C139" s="58">
        <v>4.3</v>
      </c>
      <c r="D139" s="61" t="s">
        <v>152</v>
      </c>
      <c r="E139" s="72" t="s">
        <v>153</v>
      </c>
      <c r="F139" s="62" t="s">
        <v>154</v>
      </c>
      <c r="G139" s="8" t="s">
        <v>88</v>
      </c>
      <c r="H139" s="8">
        <v>2011</v>
      </c>
      <c r="I139" s="62" t="s">
        <v>44</v>
      </c>
      <c r="J139" s="62" t="s">
        <v>155</v>
      </c>
      <c r="K139" s="62" t="s">
        <v>111</v>
      </c>
      <c r="L139" s="62" t="s">
        <v>83</v>
      </c>
      <c r="M139" s="62" t="s">
        <v>47</v>
      </c>
      <c r="N139" s="5">
        <v>0</v>
      </c>
      <c r="O139" s="8">
        <v>0</v>
      </c>
      <c r="P139" s="69">
        <v>118000</v>
      </c>
      <c r="Q139" s="69">
        <v>189000</v>
      </c>
      <c r="R139" s="69">
        <v>153500</v>
      </c>
      <c r="S139" s="62" t="s">
        <v>102</v>
      </c>
      <c r="T139" s="8">
        <f t="shared" si="3"/>
        <v>12</v>
      </c>
      <c r="U139" s="8">
        <v>1</v>
      </c>
      <c r="V139" s="8">
        <v>1</v>
      </c>
      <c r="W139" s="8">
        <v>1</v>
      </c>
      <c r="X139" s="8">
        <v>1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1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62" t="s">
        <v>49</v>
      </c>
      <c r="AL139" s="62" t="s">
        <v>50</v>
      </c>
      <c r="AM139" s="62" t="s">
        <v>51</v>
      </c>
      <c r="AN139" s="5"/>
      <c r="AO139" s="7"/>
    </row>
    <row r="140" spans="1:41" ht="15.75" customHeight="1" x14ac:dyDescent="0.25">
      <c r="A140" s="4">
        <v>139</v>
      </c>
      <c r="B140" s="5" t="s">
        <v>224</v>
      </c>
      <c r="C140" s="58">
        <v>5</v>
      </c>
      <c r="D140" s="61" t="s">
        <v>513</v>
      </c>
      <c r="E140" s="72" t="s">
        <v>514</v>
      </c>
      <c r="F140" s="62" t="s">
        <v>339</v>
      </c>
      <c r="G140" s="8" t="s">
        <v>81</v>
      </c>
      <c r="H140" s="8">
        <v>2017</v>
      </c>
      <c r="I140" s="62" t="s">
        <v>44</v>
      </c>
      <c r="J140" s="62" t="s">
        <v>213</v>
      </c>
      <c r="K140" s="62" t="s">
        <v>111</v>
      </c>
      <c r="L140" s="62" t="s">
        <v>83</v>
      </c>
      <c r="M140" s="62" t="s">
        <v>47</v>
      </c>
      <c r="N140" s="5">
        <v>0</v>
      </c>
      <c r="O140" s="8">
        <v>1</v>
      </c>
      <c r="P140" s="69">
        <v>120000</v>
      </c>
      <c r="Q140" s="69">
        <v>145000</v>
      </c>
      <c r="R140" s="69">
        <v>132500</v>
      </c>
      <c r="S140" s="62" t="s">
        <v>67</v>
      </c>
      <c r="T140" s="8">
        <f t="shared" si="3"/>
        <v>6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62" t="s">
        <v>146</v>
      </c>
      <c r="AL140" s="62" t="s">
        <v>50</v>
      </c>
      <c r="AM140" s="62" t="s">
        <v>77</v>
      </c>
      <c r="AN140" s="5"/>
      <c r="AO140" s="7"/>
    </row>
    <row r="141" spans="1:41" ht="15.75" customHeight="1" x14ac:dyDescent="0.25">
      <c r="A141" s="4">
        <v>140</v>
      </c>
      <c r="B141" s="5" t="s">
        <v>224</v>
      </c>
      <c r="C141" s="58">
        <v>4.3</v>
      </c>
      <c r="D141" s="61" t="s">
        <v>361</v>
      </c>
      <c r="E141" s="72" t="s">
        <v>172</v>
      </c>
      <c r="F141" s="62" t="s">
        <v>172</v>
      </c>
      <c r="G141" s="8" t="s">
        <v>81</v>
      </c>
      <c r="H141" s="8">
        <v>2008</v>
      </c>
      <c r="I141" s="62" t="s">
        <v>44</v>
      </c>
      <c r="J141" s="62" t="s">
        <v>216</v>
      </c>
      <c r="K141" s="62" t="s">
        <v>111</v>
      </c>
      <c r="L141" s="62" t="s">
        <v>180</v>
      </c>
      <c r="M141" s="62" t="s">
        <v>362</v>
      </c>
      <c r="N141" s="5">
        <v>0</v>
      </c>
      <c r="O141" s="8">
        <v>0</v>
      </c>
      <c r="P141" s="69">
        <v>80000</v>
      </c>
      <c r="Q141" s="69">
        <v>120000</v>
      </c>
      <c r="R141" s="69">
        <v>100000</v>
      </c>
      <c r="S141" s="62" t="s">
        <v>176</v>
      </c>
      <c r="T141" s="8">
        <f t="shared" si="3"/>
        <v>15</v>
      </c>
      <c r="U141" s="8">
        <v>0</v>
      </c>
      <c r="V141" s="8">
        <v>1</v>
      </c>
      <c r="W141" s="8">
        <v>0</v>
      </c>
      <c r="X141" s="8">
        <v>1</v>
      </c>
      <c r="Y141" s="8">
        <v>1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62" t="s">
        <v>146</v>
      </c>
      <c r="AL141" s="62" t="s">
        <v>50</v>
      </c>
      <c r="AM141" s="62" t="s">
        <v>77</v>
      </c>
      <c r="AN141" s="5"/>
      <c r="AO141" s="7"/>
    </row>
    <row r="142" spans="1:41" ht="15.75" customHeight="1" x14ac:dyDescent="0.25">
      <c r="A142" s="4">
        <v>141</v>
      </c>
      <c r="B142" s="5" t="s">
        <v>515</v>
      </c>
      <c r="C142" s="58">
        <v>3.7</v>
      </c>
      <c r="D142" s="61" t="s">
        <v>516</v>
      </c>
      <c r="E142" s="72" t="s">
        <v>159</v>
      </c>
      <c r="F142" s="62" t="s">
        <v>159</v>
      </c>
      <c r="G142" s="8" t="s">
        <v>88</v>
      </c>
      <c r="H142" s="8">
        <v>2011</v>
      </c>
      <c r="I142" s="62" t="s">
        <v>44</v>
      </c>
      <c r="J142" s="62" t="s">
        <v>517</v>
      </c>
      <c r="K142" s="62" t="s">
        <v>518</v>
      </c>
      <c r="L142" s="62" t="s">
        <v>83</v>
      </c>
      <c r="M142" s="62" t="s">
        <v>47</v>
      </c>
      <c r="N142" s="5">
        <v>0</v>
      </c>
      <c r="O142" s="8">
        <v>0</v>
      </c>
      <c r="P142" s="69">
        <v>80000</v>
      </c>
      <c r="Q142" s="69">
        <v>130000</v>
      </c>
      <c r="R142" s="69">
        <v>105000</v>
      </c>
      <c r="S142" s="62" t="s">
        <v>163</v>
      </c>
      <c r="T142" s="8">
        <f t="shared" si="3"/>
        <v>12</v>
      </c>
      <c r="U142" s="8">
        <v>1</v>
      </c>
      <c r="V142" s="8">
        <v>0</v>
      </c>
      <c r="W142" s="8">
        <v>0</v>
      </c>
      <c r="X142" s="8">
        <v>0</v>
      </c>
      <c r="Y142" s="8">
        <v>1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62" t="s">
        <v>49</v>
      </c>
      <c r="AL142" s="62" t="s">
        <v>169</v>
      </c>
      <c r="AM142" s="62" t="s">
        <v>51</v>
      </c>
      <c r="AN142" s="5"/>
      <c r="AO142" s="7"/>
    </row>
    <row r="143" spans="1:41" ht="15.75" customHeight="1" x14ac:dyDescent="0.25">
      <c r="A143" s="4">
        <v>142</v>
      </c>
      <c r="B143" s="5" t="s">
        <v>519</v>
      </c>
      <c r="C143" s="58">
        <v>4.2</v>
      </c>
      <c r="D143" s="61" t="s">
        <v>520</v>
      </c>
      <c r="E143" s="72" t="s">
        <v>521</v>
      </c>
      <c r="F143" s="62" t="s">
        <v>522</v>
      </c>
      <c r="G143" s="8" t="s">
        <v>56</v>
      </c>
      <c r="H143" s="8" t="s">
        <v>47</v>
      </c>
      <c r="I143" s="62" t="s">
        <v>160</v>
      </c>
      <c r="J143" s="62" t="s">
        <v>523</v>
      </c>
      <c r="K143" s="62" t="s">
        <v>524</v>
      </c>
      <c r="L143" s="62" t="s">
        <v>83</v>
      </c>
      <c r="M143" s="62" t="s">
        <v>47</v>
      </c>
      <c r="N143" s="5">
        <v>0</v>
      </c>
      <c r="O143" s="8">
        <v>0</v>
      </c>
      <c r="P143" s="69">
        <v>59000</v>
      </c>
      <c r="Q143" s="69">
        <v>115000</v>
      </c>
      <c r="R143" s="69">
        <v>87000</v>
      </c>
      <c r="S143" s="62" t="s">
        <v>525</v>
      </c>
      <c r="T143" s="8" t="s">
        <v>47</v>
      </c>
      <c r="U143" s="8">
        <v>0</v>
      </c>
      <c r="V143" s="8">
        <v>0</v>
      </c>
      <c r="W143" s="8">
        <v>1</v>
      </c>
      <c r="X143" s="8">
        <v>1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62" t="s">
        <v>146</v>
      </c>
      <c r="AL143" s="62" t="s">
        <v>50</v>
      </c>
      <c r="AM143" s="62" t="s">
        <v>51</v>
      </c>
      <c r="AN143" s="5"/>
      <c r="AO143" s="7"/>
    </row>
    <row r="144" spans="1:41" ht="15.75" customHeight="1" x14ac:dyDescent="0.25">
      <c r="A144" s="4">
        <v>143</v>
      </c>
      <c r="B144" s="5" t="s">
        <v>526</v>
      </c>
      <c r="C144" s="58">
        <v>4.3</v>
      </c>
      <c r="D144" s="61" t="s">
        <v>527</v>
      </c>
      <c r="E144" s="72" t="s">
        <v>98</v>
      </c>
      <c r="F144" s="62" t="s">
        <v>114</v>
      </c>
      <c r="G144" s="8" t="s">
        <v>81</v>
      </c>
      <c r="H144" s="8">
        <v>2013</v>
      </c>
      <c r="I144" s="62" t="s">
        <v>44</v>
      </c>
      <c r="J144" s="62" t="s">
        <v>90</v>
      </c>
      <c r="K144" s="62" t="s">
        <v>90</v>
      </c>
      <c r="L144" s="62" t="s">
        <v>83</v>
      </c>
      <c r="M144" s="62" t="s">
        <v>528</v>
      </c>
      <c r="N144" s="5">
        <v>0</v>
      </c>
      <c r="O144" s="8">
        <v>0</v>
      </c>
      <c r="P144" s="69">
        <v>71000</v>
      </c>
      <c r="Q144" s="69">
        <v>136000</v>
      </c>
      <c r="R144" s="69">
        <v>103500</v>
      </c>
      <c r="S144" s="62" t="s">
        <v>102</v>
      </c>
      <c r="T144" s="8">
        <f t="shared" ref="T144:T163" si="4">2023-H144</f>
        <v>10</v>
      </c>
      <c r="U144" s="8">
        <v>0</v>
      </c>
      <c r="V144" s="8">
        <v>0</v>
      </c>
      <c r="W144" s="8">
        <v>0</v>
      </c>
      <c r="X144" s="8">
        <v>1</v>
      </c>
      <c r="Y144" s="8">
        <v>1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  <c r="AI144" s="8">
        <v>0</v>
      </c>
      <c r="AJ144" s="8">
        <v>0</v>
      </c>
      <c r="AK144" s="62" t="s">
        <v>132</v>
      </c>
      <c r="AL144" s="62" t="s">
        <v>50</v>
      </c>
      <c r="AM144" s="62" t="s">
        <v>77</v>
      </c>
      <c r="AN144" s="5"/>
      <c r="AO144" s="7"/>
    </row>
    <row r="145" spans="1:41" ht="15.75" customHeight="1" x14ac:dyDescent="0.25">
      <c r="A145" s="4">
        <v>144</v>
      </c>
      <c r="B145" s="5" t="s">
        <v>529</v>
      </c>
      <c r="C145" s="58">
        <v>2.6</v>
      </c>
      <c r="D145" s="61" t="s">
        <v>530</v>
      </c>
      <c r="E145" s="72" t="s">
        <v>342</v>
      </c>
      <c r="F145" s="62" t="s">
        <v>342</v>
      </c>
      <c r="G145" s="8" t="s">
        <v>43</v>
      </c>
      <c r="H145" s="8">
        <v>1984</v>
      </c>
      <c r="I145" s="62" t="s">
        <v>531</v>
      </c>
      <c r="J145" s="62" t="s">
        <v>532</v>
      </c>
      <c r="K145" s="62" t="s">
        <v>415</v>
      </c>
      <c r="L145" s="62" t="s">
        <v>83</v>
      </c>
      <c r="M145" s="62" t="s">
        <v>47</v>
      </c>
      <c r="N145" s="5">
        <v>0</v>
      </c>
      <c r="O145" s="8">
        <v>0</v>
      </c>
      <c r="P145" s="69">
        <v>81000</v>
      </c>
      <c r="Q145" s="69">
        <v>167000</v>
      </c>
      <c r="R145" s="69">
        <v>124000</v>
      </c>
      <c r="S145" s="62" t="s">
        <v>305</v>
      </c>
      <c r="T145" s="8">
        <f t="shared" si="4"/>
        <v>39</v>
      </c>
      <c r="U145" s="8">
        <v>1</v>
      </c>
      <c r="V145" s="8">
        <v>0</v>
      </c>
      <c r="W145" s="8">
        <v>0</v>
      </c>
      <c r="X145" s="8">
        <v>1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  <c r="AK145" s="62" t="s">
        <v>107</v>
      </c>
      <c r="AL145" s="62" t="s">
        <v>169</v>
      </c>
      <c r="AM145" s="62" t="s">
        <v>51</v>
      </c>
      <c r="AN145" s="5"/>
      <c r="AO145" s="7"/>
    </row>
    <row r="146" spans="1:41" ht="15.75" customHeight="1" x14ac:dyDescent="0.25">
      <c r="A146" s="4">
        <v>145</v>
      </c>
      <c r="B146" s="5" t="s">
        <v>533</v>
      </c>
      <c r="C146" s="58">
        <v>3.8</v>
      </c>
      <c r="D146" s="61" t="s">
        <v>68</v>
      </c>
      <c r="E146" s="72" t="s">
        <v>69</v>
      </c>
      <c r="F146" s="62" t="s">
        <v>69</v>
      </c>
      <c r="G146" s="8" t="s">
        <v>70</v>
      </c>
      <c r="H146" s="8">
        <v>1965</v>
      </c>
      <c r="I146" s="62" t="s">
        <v>71</v>
      </c>
      <c r="J146" s="62" t="s">
        <v>72</v>
      </c>
      <c r="K146" s="62" t="s">
        <v>73</v>
      </c>
      <c r="L146" s="62" t="s">
        <v>74</v>
      </c>
      <c r="M146" s="62" t="s">
        <v>75</v>
      </c>
      <c r="N146" s="5">
        <v>0</v>
      </c>
      <c r="O146" s="8">
        <v>0</v>
      </c>
      <c r="P146" s="69">
        <v>49000</v>
      </c>
      <c r="Q146" s="69">
        <v>85000</v>
      </c>
      <c r="R146" s="69">
        <v>67000</v>
      </c>
      <c r="S146" s="62" t="s">
        <v>76</v>
      </c>
      <c r="T146" s="8">
        <f t="shared" si="4"/>
        <v>58</v>
      </c>
      <c r="U146" s="8">
        <v>1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62" t="s">
        <v>49</v>
      </c>
      <c r="AL146" s="62" t="s">
        <v>50</v>
      </c>
      <c r="AM146" s="62" t="s">
        <v>108</v>
      </c>
      <c r="AN146" s="5"/>
      <c r="AO146" s="7"/>
    </row>
    <row r="147" spans="1:41" ht="15.75" customHeight="1" x14ac:dyDescent="0.25">
      <c r="A147" s="4">
        <v>146</v>
      </c>
      <c r="B147" s="5" t="s">
        <v>224</v>
      </c>
      <c r="C147" s="58">
        <v>3.9</v>
      </c>
      <c r="D147" s="61" t="s">
        <v>534</v>
      </c>
      <c r="E147" s="72" t="s">
        <v>243</v>
      </c>
      <c r="F147" s="62" t="s">
        <v>99</v>
      </c>
      <c r="G147" s="8" t="s">
        <v>56</v>
      </c>
      <c r="H147" s="8">
        <v>2000</v>
      </c>
      <c r="I147" s="62" t="s">
        <v>44</v>
      </c>
      <c r="J147" s="62" t="s">
        <v>213</v>
      </c>
      <c r="K147" s="62" t="s">
        <v>111</v>
      </c>
      <c r="L147" s="62" t="s">
        <v>60</v>
      </c>
      <c r="M147" s="62" t="s">
        <v>535</v>
      </c>
      <c r="N147" s="5">
        <v>0</v>
      </c>
      <c r="O147" s="8">
        <v>0</v>
      </c>
      <c r="P147" s="69">
        <v>60000</v>
      </c>
      <c r="Q147" s="69">
        <v>114000</v>
      </c>
      <c r="R147" s="69">
        <v>87000</v>
      </c>
      <c r="S147" s="62" t="s">
        <v>245</v>
      </c>
      <c r="T147" s="8">
        <f t="shared" si="4"/>
        <v>23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62" t="s">
        <v>146</v>
      </c>
      <c r="AL147" s="62" t="s">
        <v>50</v>
      </c>
      <c r="AM147" s="62" t="s">
        <v>51</v>
      </c>
      <c r="AN147" s="5"/>
      <c r="AO147" s="7"/>
    </row>
    <row r="148" spans="1:41" ht="15.75" customHeight="1" x14ac:dyDescent="0.25">
      <c r="A148" s="4">
        <v>147</v>
      </c>
      <c r="B148" s="5" t="s">
        <v>536</v>
      </c>
      <c r="C148" s="58">
        <v>4.3</v>
      </c>
      <c r="D148" s="61" t="s">
        <v>152</v>
      </c>
      <c r="E148" s="72" t="s">
        <v>172</v>
      </c>
      <c r="F148" s="62" t="s">
        <v>154</v>
      </c>
      <c r="G148" s="8" t="s">
        <v>88</v>
      </c>
      <c r="H148" s="8">
        <v>2011</v>
      </c>
      <c r="I148" s="62" t="s">
        <v>44</v>
      </c>
      <c r="J148" s="62" t="s">
        <v>155</v>
      </c>
      <c r="K148" s="62" t="s">
        <v>111</v>
      </c>
      <c r="L148" s="62" t="s">
        <v>83</v>
      </c>
      <c r="M148" s="62" t="s">
        <v>47</v>
      </c>
      <c r="N148" s="5">
        <v>0</v>
      </c>
      <c r="O148" s="8">
        <v>0</v>
      </c>
      <c r="P148" s="69">
        <v>71000</v>
      </c>
      <c r="Q148" s="69">
        <v>204000</v>
      </c>
      <c r="R148" s="69">
        <v>137500</v>
      </c>
      <c r="S148" s="62" t="s">
        <v>176</v>
      </c>
      <c r="T148" s="8">
        <f t="shared" si="4"/>
        <v>12</v>
      </c>
      <c r="U148" s="8">
        <v>1</v>
      </c>
      <c r="V148" s="8">
        <v>1</v>
      </c>
      <c r="W148" s="8">
        <v>1</v>
      </c>
      <c r="X148" s="8">
        <v>1</v>
      </c>
      <c r="Y148" s="8">
        <v>0</v>
      </c>
      <c r="Z148" s="8">
        <v>0</v>
      </c>
      <c r="AA148" s="8">
        <v>1</v>
      </c>
      <c r="AB148" s="8">
        <v>0</v>
      </c>
      <c r="AC148" s="8">
        <v>1</v>
      </c>
      <c r="AD148" s="8">
        <v>1</v>
      </c>
      <c r="AE148" s="8">
        <v>1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62" t="s">
        <v>49</v>
      </c>
      <c r="AL148" s="62" t="s">
        <v>50</v>
      </c>
      <c r="AM148" s="62" t="s">
        <v>108</v>
      </c>
      <c r="AN148" s="5"/>
      <c r="AO148" s="7"/>
    </row>
    <row r="149" spans="1:41" ht="15.75" customHeight="1" x14ac:dyDescent="0.25">
      <c r="A149" s="4">
        <v>148</v>
      </c>
      <c r="B149" s="5" t="s">
        <v>246</v>
      </c>
      <c r="C149" s="58">
        <v>3.8</v>
      </c>
      <c r="D149" s="61" t="s">
        <v>537</v>
      </c>
      <c r="E149" s="72" t="s">
        <v>290</v>
      </c>
      <c r="F149" s="62" t="s">
        <v>290</v>
      </c>
      <c r="G149" s="8" t="s">
        <v>88</v>
      </c>
      <c r="H149" s="8">
        <v>1987</v>
      </c>
      <c r="I149" s="62" t="s">
        <v>44</v>
      </c>
      <c r="J149" s="62" t="s">
        <v>82</v>
      </c>
      <c r="K149" s="62" t="s">
        <v>65</v>
      </c>
      <c r="L149" s="62" t="s">
        <v>66</v>
      </c>
      <c r="M149" s="62" t="s">
        <v>538</v>
      </c>
      <c r="N149" s="5">
        <v>0</v>
      </c>
      <c r="O149" s="8">
        <v>0</v>
      </c>
      <c r="P149" s="69">
        <v>75000</v>
      </c>
      <c r="Q149" s="69">
        <v>125000</v>
      </c>
      <c r="R149" s="69">
        <v>100000</v>
      </c>
      <c r="S149" s="62" t="s">
        <v>258</v>
      </c>
      <c r="T149" s="8">
        <f t="shared" si="4"/>
        <v>36</v>
      </c>
      <c r="U149" s="8">
        <v>1</v>
      </c>
      <c r="V149" s="8">
        <v>0</v>
      </c>
      <c r="W149" s="8">
        <v>0</v>
      </c>
      <c r="X149" s="8">
        <v>1</v>
      </c>
      <c r="Y149" s="8">
        <v>1</v>
      </c>
      <c r="Z149" s="8">
        <v>0</v>
      </c>
      <c r="AA149" s="8">
        <v>0</v>
      </c>
      <c r="AB149" s="8">
        <v>0</v>
      </c>
      <c r="AC149" s="8">
        <v>1</v>
      </c>
      <c r="AD149" s="8">
        <v>0</v>
      </c>
      <c r="AE149" s="8">
        <v>0</v>
      </c>
      <c r="AF149" s="8">
        <v>0</v>
      </c>
      <c r="AG149" s="8">
        <v>1</v>
      </c>
      <c r="AH149" s="8">
        <v>0</v>
      </c>
      <c r="AI149" s="8">
        <v>0</v>
      </c>
      <c r="AJ149" s="8">
        <v>0</v>
      </c>
      <c r="AK149" s="62" t="s">
        <v>49</v>
      </c>
      <c r="AL149" s="62" t="s">
        <v>169</v>
      </c>
      <c r="AM149" s="62" t="s">
        <v>51</v>
      </c>
      <c r="AN149" s="5"/>
      <c r="AO149" s="7"/>
    </row>
    <row r="150" spans="1:41" ht="15.75" customHeight="1" x14ac:dyDescent="0.25">
      <c r="A150" s="4">
        <v>149</v>
      </c>
      <c r="B150" s="5" t="s">
        <v>539</v>
      </c>
      <c r="C150" s="58">
        <v>3.8</v>
      </c>
      <c r="D150" s="61" t="s">
        <v>540</v>
      </c>
      <c r="E150" s="72" t="s">
        <v>541</v>
      </c>
      <c r="F150" s="62" t="s">
        <v>541</v>
      </c>
      <c r="G150" s="8" t="s">
        <v>120</v>
      </c>
      <c r="H150" s="8">
        <v>1945</v>
      </c>
      <c r="I150" s="62" t="s">
        <v>160</v>
      </c>
      <c r="J150" s="62" t="s">
        <v>161</v>
      </c>
      <c r="K150" s="62" t="s">
        <v>162</v>
      </c>
      <c r="L150" s="62" t="s">
        <v>194</v>
      </c>
      <c r="M150" s="62" t="s">
        <v>47</v>
      </c>
      <c r="N150" s="5">
        <v>0</v>
      </c>
      <c r="O150" s="8">
        <v>0</v>
      </c>
      <c r="P150" s="69">
        <v>77000</v>
      </c>
      <c r="Q150" s="69">
        <v>136000</v>
      </c>
      <c r="R150" s="69">
        <v>106500</v>
      </c>
      <c r="S150" s="62" t="s">
        <v>542</v>
      </c>
      <c r="T150" s="8">
        <f t="shared" si="4"/>
        <v>78</v>
      </c>
      <c r="U150" s="8">
        <v>0</v>
      </c>
      <c r="V150" s="8">
        <v>0</v>
      </c>
      <c r="W150" s="8">
        <v>0</v>
      </c>
      <c r="X150" s="8">
        <v>1</v>
      </c>
      <c r="Y150" s="8">
        <v>1</v>
      </c>
      <c r="Z150" s="8">
        <v>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1</v>
      </c>
      <c r="AG150" s="8">
        <v>0</v>
      </c>
      <c r="AH150" s="8">
        <v>0</v>
      </c>
      <c r="AI150" s="8">
        <v>1</v>
      </c>
      <c r="AJ150" s="8">
        <v>0</v>
      </c>
      <c r="AK150" s="62" t="s">
        <v>146</v>
      </c>
      <c r="AL150" s="62" t="s">
        <v>50</v>
      </c>
      <c r="AM150" s="62" t="s">
        <v>77</v>
      </c>
      <c r="AN150" s="5"/>
      <c r="AO150" s="7"/>
    </row>
    <row r="151" spans="1:41" ht="15.75" customHeight="1" x14ac:dyDescent="0.25">
      <c r="A151" s="4">
        <v>150</v>
      </c>
      <c r="B151" s="5" t="s">
        <v>543</v>
      </c>
      <c r="C151" s="58">
        <v>3.8</v>
      </c>
      <c r="D151" s="61" t="s">
        <v>68</v>
      </c>
      <c r="E151" s="72" t="s">
        <v>69</v>
      </c>
      <c r="F151" s="62" t="s">
        <v>69</v>
      </c>
      <c r="G151" s="8" t="s">
        <v>70</v>
      </c>
      <c r="H151" s="8">
        <v>1965</v>
      </c>
      <c r="I151" s="62" t="s">
        <v>71</v>
      </c>
      <c r="J151" s="62" t="s">
        <v>72</v>
      </c>
      <c r="K151" s="62" t="s">
        <v>73</v>
      </c>
      <c r="L151" s="62" t="s">
        <v>74</v>
      </c>
      <c r="M151" s="62" t="s">
        <v>75</v>
      </c>
      <c r="N151" s="5">
        <v>0</v>
      </c>
      <c r="O151" s="8">
        <v>0</v>
      </c>
      <c r="P151" s="69">
        <v>74000</v>
      </c>
      <c r="Q151" s="69">
        <v>123000</v>
      </c>
      <c r="R151" s="69">
        <v>98500</v>
      </c>
      <c r="S151" s="62" t="s">
        <v>76</v>
      </c>
      <c r="T151" s="8">
        <f t="shared" si="4"/>
        <v>58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62" t="s">
        <v>49</v>
      </c>
      <c r="AL151" s="62" t="s">
        <v>169</v>
      </c>
      <c r="AM151" s="62" t="s">
        <v>108</v>
      </c>
      <c r="AN151" s="5"/>
      <c r="AO151" s="7"/>
    </row>
    <row r="152" spans="1:41" ht="15.75" customHeight="1" x14ac:dyDescent="0.25">
      <c r="A152" s="4">
        <v>151</v>
      </c>
      <c r="B152" s="5" t="s">
        <v>433</v>
      </c>
      <c r="C152" s="58">
        <v>4.8</v>
      </c>
      <c r="D152" s="61" t="s">
        <v>62</v>
      </c>
      <c r="E152" s="72" t="s">
        <v>63</v>
      </c>
      <c r="F152" s="62" t="s">
        <v>63</v>
      </c>
      <c r="G152" s="8" t="s">
        <v>43</v>
      </c>
      <c r="H152" s="8">
        <v>2010</v>
      </c>
      <c r="I152" s="62" t="s">
        <v>44</v>
      </c>
      <c r="J152" s="62" t="s">
        <v>64</v>
      </c>
      <c r="K152" s="62" t="s">
        <v>65</v>
      </c>
      <c r="L152" s="62" t="s">
        <v>66</v>
      </c>
      <c r="M152" s="62" t="s">
        <v>47</v>
      </c>
      <c r="N152" s="5">
        <v>0</v>
      </c>
      <c r="O152" s="8">
        <v>0</v>
      </c>
      <c r="P152" s="69">
        <v>44000</v>
      </c>
      <c r="Q152" s="69">
        <v>78000</v>
      </c>
      <c r="R152" s="69">
        <v>61000</v>
      </c>
      <c r="S152" s="62" t="s">
        <v>67</v>
      </c>
      <c r="T152" s="8">
        <f t="shared" si="4"/>
        <v>13</v>
      </c>
      <c r="U152" s="8">
        <v>1</v>
      </c>
      <c r="V152" s="8">
        <v>0</v>
      </c>
      <c r="W152" s="8">
        <v>0</v>
      </c>
      <c r="X152" s="8">
        <v>1</v>
      </c>
      <c r="Y152" s="8">
        <v>1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62" t="s">
        <v>132</v>
      </c>
      <c r="AL152" s="62" t="s">
        <v>169</v>
      </c>
      <c r="AM152" s="62" t="s">
        <v>51</v>
      </c>
      <c r="AN152" s="5"/>
      <c r="AO152" s="7"/>
    </row>
    <row r="153" spans="1:41" ht="15.75" customHeight="1" x14ac:dyDescent="0.25">
      <c r="A153" s="4">
        <v>152</v>
      </c>
      <c r="B153" s="5" t="s">
        <v>544</v>
      </c>
      <c r="C153" s="58">
        <v>4.4000000000000004</v>
      </c>
      <c r="D153" s="61" t="s">
        <v>545</v>
      </c>
      <c r="E153" s="72" t="s">
        <v>324</v>
      </c>
      <c r="F153" s="62" t="s">
        <v>324</v>
      </c>
      <c r="G153" s="8" t="s">
        <v>81</v>
      </c>
      <c r="H153" s="8">
        <v>2008</v>
      </c>
      <c r="I153" s="62" t="s">
        <v>44</v>
      </c>
      <c r="J153" s="62" t="s">
        <v>100</v>
      </c>
      <c r="K153" s="62" t="s">
        <v>65</v>
      </c>
      <c r="L153" s="62" t="s">
        <v>83</v>
      </c>
      <c r="M153" s="62" t="s">
        <v>47</v>
      </c>
      <c r="N153" s="5">
        <v>0</v>
      </c>
      <c r="O153" s="8">
        <v>0</v>
      </c>
      <c r="P153" s="69">
        <v>65000</v>
      </c>
      <c r="Q153" s="69">
        <v>148000</v>
      </c>
      <c r="R153" s="69">
        <v>106500</v>
      </c>
      <c r="S153" s="62" t="s">
        <v>326</v>
      </c>
      <c r="T153" s="8">
        <f t="shared" si="4"/>
        <v>15</v>
      </c>
      <c r="U153" s="8">
        <v>1</v>
      </c>
      <c r="V153" s="8">
        <v>1</v>
      </c>
      <c r="W153" s="8">
        <v>1</v>
      </c>
      <c r="X153" s="8">
        <v>0</v>
      </c>
      <c r="Y153" s="8">
        <v>1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  <c r="AI153" s="8">
        <v>1</v>
      </c>
      <c r="AJ153" s="8">
        <v>0</v>
      </c>
      <c r="AK153" s="62" t="s">
        <v>49</v>
      </c>
      <c r="AL153" s="62" t="s">
        <v>169</v>
      </c>
      <c r="AM153" s="62" t="s">
        <v>77</v>
      </c>
      <c r="AN153" s="5"/>
      <c r="AO153" s="7"/>
    </row>
    <row r="154" spans="1:41" ht="15.75" customHeight="1" x14ac:dyDescent="0.25">
      <c r="A154" s="4">
        <v>153</v>
      </c>
      <c r="B154" s="5" t="s">
        <v>224</v>
      </c>
      <c r="C154" s="58">
        <v>3.9</v>
      </c>
      <c r="D154" s="61" t="s">
        <v>546</v>
      </c>
      <c r="E154" s="72" t="s">
        <v>134</v>
      </c>
      <c r="F154" s="62" t="s">
        <v>134</v>
      </c>
      <c r="G154" s="8" t="s">
        <v>81</v>
      </c>
      <c r="H154" s="8">
        <v>2005</v>
      </c>
      <c r="I154" s="62" t="s">
        <v>44</v>
      </c>
      <c r="J154" s="62" t="s">
        <v>110</v>
      </c>
      <c r="K154" s="62" t="s">
        <v>111</v>
      </c>
      <c r="L154" s="62" t="s">
        <v>83</v>
      </c>
      <c r="M154" s="62" t="s">
        <v>47</v>
      </c>
      <c r="N154" s="5">
        <v>0</v>
      </c>
      <c r="O154" s="8">
        <v>0</v>
      </c>
      <c r="P154" s="69">
        <v>59000</v>
      </c>
      <c r="Q154" s="69">
        <v>110000</v>
      </c>
      <c r="R154" s="69">
        <v>84500</v>
      </c>
      <c r="S154" s="62" t="s">
        <v>138</v>
      </c>
      <c r="T154" s="8">
        <f t="shared" si="4"/>
        <v>18</v>
      </c>
      <c r="U154" s="8">
        <v>1</v>
      </c>
      <c r="V154" s="8">
        <v>1</v>
      </c>
      <c r="W154" s="8">
        <v>0</v>
      </c>
      <c r="X154" s="8">
        <v>0</v>
      </c>
      <c r="Y154" s="8">
        <v>1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62" t="s">
        <v>146</v>
      </c>
      <c r="AL154" s="62" t="s">
        <v>50</v>
      </c>
      <c r="AM154" s="62" t="s">
        <v>77</v>
      </c>
      <c r="AN154" s="5"/>
      <c r="AO154" s="7"/>
    </row>
    <row r="155" spans="1:41" ht="15.75" customHeight="1" x14ac:dyDescent="0.25">
      <c r="A155" s="4">
        <v>154</v>
      </c>
      <c r="B155" s="5" t="s">
        <v>547</v>
      </c>
      <c r="C155" s="58">
        <v>3.4</v>
      </c>
      <c r="D155" s="61" t="s">
        <v>548</v>
      </c>
      <c r="E155" s="72" t="s">
        <v>549</v>
      </c>
      <c r="F155" s="62" t="s">
        <v>549</v>
      </c>
      <c r="G155" s="8" t="s">
        <v>70</v>
      </c>
      <c r="H155" s="8">
        <v>1846</v>
      </c>
      <c r="I155" s="62" t="s">
        <v>89</v>
      </c>
      <c r="J155" s="62" t="s">
        <v>499</v>
      </c>
      <c r="K155" s="62" t="s">
        <v>427</v>
      </c>
      <c r="L155" s="62" t="s">
        <v>60</v>
      </c>
      <c r="M155" s="62" t="s">
        <v>47</v>
      </c>
      <c r="N155" s="5">
        <v>0</v>
      </c>
      <c r="O155" s="8">
        <v>0</v>
      </c>
      <c r="P155" s="69">
        <v>85000</v>
      </c>
      <c r="Q155" s="69">
        <v>134000</v>
      </c>
      <c r="R155" s="69">
        <v>109500</v>
      </c>
      <c r="S155" s="62" t="s">
        <v>145</v>
      </c>
      <c r="T155" s="8">
        <f t="shared" si="4"/>
        <v>177</v>
      </c>
      <c r="U155" s="8">
        <v>1</v>
      </c>
      <c r="V155" s="8">
        <v>0</v>
      </c>
      <c r="W155" s="8">
        <v>0</v>
      </c>
      <c r="X155" s="8">
        <v>1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</v>
      </c>
      <c r="AG155" s="8">
        <v>1</v>
      </c>
      <c r="AH155" s="8">
        <v>0</v>
      </c>
      <c r="AI155" s="8">
        <v>0</v>
      </c>
      <c r="AJ155" s="8">
        <v>0</v>
      </c>
      <c r="AK155" s="62" t="s">
        <v>486</v>
      </c>
      <c r="AL155" s="62" t="s">
        <v>50</v>
      </c>
      <c r="AM155" s="62" t="s">
        <v>51</v>
      </c>
      <c r="AN155" s="5"/>
      <c r="AO155" s="7"/>
    </row>
    <row r="156" spans="1:41" ht="15.75" customHeight="1" x14ac:dyDescent="0.25">
      <c r="A156" s="4">
        <v>155</v>
      </c>
      <c r="B156" s="5" t="s">
        <v>246</v>
      </c>
      <c r="C156" s="58">
        <v>3.6</v>
      </c>
      <c r="D156" s="61" t="s">
        <v>550</v>
      </c>
      <c r="E156" s="72" t="s">
        <v>269</v>
      </c>
      <c r="F156" s="62" t="s">
        <v>551</v>
      </c>
      <c r="G156" s="8" t="s">
        <v>120</v>
      </c>
      <c r="H156" s="8">
        <v>1851</v>
      </c>
      <c r="I156" s="62" t="s">
        <v>44</v>
      </c>
      <c r="J156" s="62" t="s">
        <v>161</v>
      </c>
      <c r="K156" s="62" t="s">
        <v>162</v>
      </c>
      <c r="L156" s="62" t="s">
        <v>128</v>
      </c>
      <c r="M156" s="62" t="s">
        <v>47</v>
      </c>
      <c r="N156" s="5">
        <v>0</v>
      </c>
      <c r="O156" s="8">
        <v>0</v>
      </c>
      <c r="P156" s="69">
        <v>124000</v>
      </c>
      <c r="Q156" s="69">
        <v>204000</v>
      </c>
      <c r="R156" s="69">
        <v>164000</v>
      </c>
      <c r="S156" s="62" t="s">
        <v>138</v>
      </c>
      <c r="T156" s="8">
        <f t="shared" si="4"/>
        <v>172</v>
      </c>
      <c r="U156" s="8">
        <v>1</v>
      </c>
      <c r="V156" s="8">
        <v>1</v>
      </c>
      <c r="W156" s="8">
        <v>1</v>
      </c>
      <c r="X156" s="8">
        <v>0</v>
      </c>
      <c r="Y156" s="8">
        <v>1</v>
      </c>
      <c r="Z156" s="8">
        <v>0</v>
      </c>
      <c r="AA156" s="8">
        <v>0</v>
      </c>
      <c r="AB156" s="8">
        <v>0</v>
      </c>
      <c r="AC156" s="8">
        <v>1</v>
      </c>
      <c r="AD156" s="8">
        <v>0</v>
      </c>
      <c r="AE156" s="8">
        <v>1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62" t="s">
        <v>49</v>
      </c>
      <c r="AL156" s="62" t="s">
        <v>169</v>
      </c>
      <c r="AM156" s="62" t="s">
        <v>108</v>
      </c>
      <c r="AN156" s="5"/>
      <c r="AO156" s="7"/>
    </row>
    <row r="157" spans="1:41" ht="15.75" customHeight="1" x14ac:dyDescent="0.25">
      <c r="A157" s="4">
        <v>156</v>
      </c>
      <c r="B157" s="5" t="s">
        <v>552</v>
      </c>
      <c r="C157" s="58">
        <v>3.9</v>
      </c>
      <c r="D157" s="61" t="s">
        <v>553</v>
      </c>
      <c r="E157" s="72" t="s">
        <v>554</v>
      </c>
      <c r="F157" s="62" t="s">
        <v>555</v>
      </c>
      <c r="G157" s="8" t="s">
        <v>56</v>
      </c>
      <c r="H157" s="8">
        <v>1976</v>
      </c>
      <c r="I157" s="62" t="s">
        <v>142</v>
      </c>
      <c r="J157" s="62" t="s">
        <v>136</v>
      </c>
      <c r="K157" s="62" t="s">
        <v>136</v>
      </c>
      <c r="L157" s="62" t="s">
        <v>128</v>
      </c>
      <c r="M157" s="62" t="s">
        <v>47</v>
      </c>
      <c r="N157" s="5">
        <v>0</v>
      </c>
      <c r="O157" s="8">
        <v>0</v>
      </c>
      <c r="P157" s="69">
        <v>131000</v>
      </c>
      <c r="Q157" s="69">
        <v>207000</v>
      </c>
      <c r="R157" s="69">
        <v>169000</v>
      </c>
      <c r="S157" s="62" t="s">
        <v>102</v>
      </c>
      <c r="T157" s="8">
        <f t="shared" si="4"/>
        <v>47</v>
      </c>
      <c r="U157" s="8">
        <v>1</v>
      </c>
      <c r="V157" s="8">
        <v>1</v>
      </c>
      <c r="W157" s="8">
        <v>0</v>
      </c>
      <c r="X157" s="8">
        <v>1</v>
      </c>
      <c r="Y157" s="8">
        <v>1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1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  <c r="AK157" s="62" t="s">
        <v>49</v>
      </c>
      <c r="AL157" s="62" t="s">
        <v>169</v>
      </c>
      <c r="AM157" s="62" t="s">
        <v>108</v>
      </c>
      <c r="AN157" s="5"/>
      <c r="AO157" s="7"/>
    </row>
    <row r="158" spans="1:41" ht="15.75" customHeight="1" x14ac:dyDescent="0.25">
      <c r="A158" s="4">
        <v>157</v>
      </c>
      <c r="B158" s="5" t="s">
        <v>220</v>
      </c>
      <c r="C158" s="58">
        <v>3.8</v>
      </c>
      <c r="D158" s="61" t="s">
        <v>204</v>
      </c>
      <c r="E158" s="72" t="s">
        <v>556</v>
      </c>
      <c r="F158" s="62" t="s">
        <v>205</v>
      </c>
      <c r="G158" s="8" t="s">
        <v>120</v>
      </c>
      <c r="H158" s="8">
        <v>1996</v>
      </c>
      <c r="I158" s="62" t="s">
        <v>89</v>
      </c>
      <c r="J158" s="62" t="s">
        <v>206</v>
      </c>
      <c r="K158" s="62" t="s">
        <v>207</v>
      </c>
      <c r="L158" s="62" t="s">
        <v>60</v>
      </c>
      <c r="M158" s="62" t="s">
        <v>47</v>
      </c>
      <c r="N158" s="5">
        <v>0</v>
      </c>
      <c r="O158" s="8">
        <v>0</v>
      </c>
      <c r="P158" s="69">
        <v>110000</v>
      </c>
      <c r="Q158" s="69">
        <v>174000</v>
      </c>
      <c r="R158" s="69">
        <v>142000</v>
      </c>
      <c r="S158" s="62" t="s">
        <v>102</v>
      </c>
      <c r="T158" s="8">
        <f t="shared" si="4"/>
        <v>27</v>
      </c>
      <c r="U158" s="8">
        <v>1</v>
      </c>
      <c r="V158" s="8">
        <v>1</v>
      </c>
      <c r="W158" s="8">
        <v>1</v>
      </c>
      <c r="X158" s="8">
        <v>1</v>
      </c>
      <c r="Y158" s="8">
        <v>0</v>
      </c>
      <c r="Z158" s="8">
        <v>0</v>
      </c>
      <c r="AA158" s="8">
        <v>0</v>
      </c>
      <c r="AB158" s="8">
        <v>0</v>
      </c>
      <c r="AC158" s="8">
        <v>1</v>
      </c>
      <c r="AD158" s="8">
        <v>1</v>
      </c>
      <c r="AE158" s="8">
        <v>0</v>
      </c>
      <c r="AF158" s="8">
        <v>0</v>
      </c>
      <c r="AG158" s="8">
        <v>0</v>
      </c>
      <c r="AH158" s="8">
        <v>1</v>
      </c>
      <c r="AI158" s="8">
        <v>0</v>
      </c>
      <c r="AJ158" s="8">
        <v>0</v>
      </c>
      <c r="AK158" s="62" t="s">
        <v>49</v>
      </c>
      <c r="AL158" s="62" t="s">
        <v>169</v>
      </c>
      <c r="AM158" s="62" t="s">
        <v>108</v>
      </c>
      <c r="AN158" s="5"/>
      <c r="AO158" s="7"/>
    </row>
    <row r="159" spans="1:41" ht="15.75" customHeight="1" x14ac:dyDescent="0.25">
      <c r="A159" s="4">
        <v>158</v>
      </c>
      <c r="B159" s="5" t="s">
        <v>557</v>
      </c>
      <c r="C159" s="58">
        <v>3.7</v>
      </c>
      <c r="D159" s="61" t="s">
        <v>133</v>
      </c>
      <c r="E159" s="72" t="s">
        <v>269</v>
      </c>
      <c r="F159" s="62" t="s">
        <v>135</v>
      </c>
      <c r="G159" s="8" t="s">
        <v>56</v>
      </c>
      <c r="H159" s="8">
        <v>1781</v>
      </c>
      <c r="I159" s="62" t="s">
        <v>89</v>
      </c>
      <c r="J159" s="62" t="s">
        <v>136</v>
      </c>
      <c r="K159" s="62" t="s">
        <v>136</v>
      </c>
      <c r="L159" s="62" t="s">
        <v>128</v>
      </c>
      <c r="M159" s="62" t="s">
        <v>137</v>
      </c>
      <c r="N159" s="5">
        <v>0</v>
      </c>
      <c r="O159" s="8">
        <v>0</v>
      </c>
      <c r="P159" s="69">
        <v>52000</v>
      </c>
      <c r="Q159" s="69">
        <v>101000</v>
      </c>
      <c r="R159" s="69">
        <v>76500</v>
      </c>
      <c r="S159" s="62" t="s">
        <v>138</v>
      </c>
      <c r="T159" s="8">
        <f t="shared" si="4"/>
        <v>242</v>
      </c>
      <c r="U159" s="8">
        <v>0</v>
      </c>
      <c r="V159" s="8">
        <v>0</v>
      </c>
      <c r="W159" s="8">
        <v>0</v>
      </c>
      <c r="X159" s="8">
        <v>1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62" t="s">
        <v>107</v>
      </c>
      <c r="AL159" s="62" t="s">
        <v>50</v>
      </c>
      <c r="AM159" s="62" t="s">
        <v>108</v>
      </c>
      <c r="AN159" s="5"/>
      <c r="AO159" s="7"/>
    </row>
    <row r="160" spans="1:41" ht="15.75" customHeight="1" x14ac:dyDescent="0.25">
      <c r="A160" s="4">
        <v>159</v>
      </c>
      <c r="B160" s="5" t="s">
        <v>558</v>
      </c>
      <c r="C160" s="58">
        <v>3.8</v>
      </c>
      <c r="D160" s="61" t="s">
        <v>559</v>
      </c>
      <c r="E160" s="72" t="s">
        <v>560</v>
      </c>
      <c r="F160" s="62" t="s">
        <v>560</v>
      </c>
      <c r="G160" s="8" t="s">
        <v>43</v>
      </c>
      <c r="H160" s="8">
        <v>1981</v>
      </c>
      <c r="I160" s="62" t="s">
        <v>44</v>
      </c>
      <c r="J160" s="62" t="s">
        <v>161</v>
      </c>
      <c r="K160" s="62" t="s">
        <v>162</v>
      </c>
      <c r="L160" s="62" t="s">
        <v>74</v>
      </c>
      <c r="M160" s="62" t="s">
        <v>47</v>
      </c>
      <c r="N160" s="5">
        <v>0</v>
      </c>
      <c r="O160" s="8">
        <v>0</v>
      </c>
      <c r="P160" s="69">
        <v>81000</v>
      </c>
      <c r="Q160" s="69">
        <v>133000</v>
      </c>
      <c r="R160" s="69">
        <v>107000</v>
      </c>
      <c r="S160" s="62" t="s">
        <v>61</v>
      </c>
      <c r="T160" s="8">
        <f t="shared" si="4"/>
        <v>42</v>
      </c>
      <c r="U160" s="8">
        <v>1</v>
      </c>
      <c r="V160" s="8">
        <v>0</v>
      </c>
      <c r="W160" s="8">
        <v>0</v>
      </c>
      <c r="X160" s="8">
        <v>1</v>
      </c>
      <c r="Y160" s="8">
        <v>1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1</v>
      </c>
      <c r="AG160" s="8">
        <v>0</v>
      </c>
      <c r="AH160" s="8">
        <v>0</v>
      </c>
      <c r="AI160" s="8">
        <v>0</v>
      </c>
      <c r="AJ160" s="8">
        <v>0</v>
      </c>
      <c r="AK160" s="62" t="s">
        <v>49</v>
      </c>
      <c r="AL160" s="62" t="s">
        <v>50</v>
      </c>
      <c r="AM160" s="62" t="s">
        <v>51</v>
      </c>
      <c r="AN160" s="5"/>
      <c r="AO160" s="7"/>
    </row>
    <row r="161" spans="1:41" ht="15.75" customHeight="1" x14ac:dyDescent="0.25">
      <c r="A161" s="4">
        <v>160</v>
      </c>
      <c r="B161" s="5" t="s">
        <v>561</v>
      </c>
      <c r="C161" s="58">
        <v>3.5</v>
      </c>
      <c r="D161" s="61" t="s">
        <v>562</v>
      </c>
      <c r="E161" s="72" t="s">
        <v>98</v>
      </c>
      <c r="F161" s="62" t="s">
        <v>189</v>
      </c>
      <c r="G161" s="8" t="s">
        <v>56</v>
      </c>
      <c r="H161" s="8">
        <v>1970</v>
      </c>
      <c r="I161" s="62" t="s">
        <v>89</v>
      </c>
      <c r="J161" s="62" t="s">
        <v>216</v>
      </c>
      <c r="K161" s="62" t="s">
        <v>111</v>
      </c>
      <c r="L161" s="62" t="s">
        <v>128</v>
      </c>
      <c r="M161" s="62" t="s">
        <v>563</v>
      </c>
      <c r="N161" s="5">
        <v>0</v>
      </c>
      <c r="O161" s="8">
        <v>0</v>
      </c>
      <c r="P161" s="69">
        <v>132000</v>
      </c>
      <c r="Q161" s="69">
        <v>211000</v>
      </c>
      <c r="R161" s="69">
        <v>171500</v>
      </c>
      <c r="S161" s="62" t="s">
        <v>102</v>
      </c>
      <c r="T161" s="8">
        <f t="shared" si="4"/>
        <v>53</v>
      </c>
      <c r="U161" s="8">
        <v>1</v>
      </c>
      <c r="V161" s="8">
        <v>0</v>
      </c>
      <c r="W161" s="8">
        <v>1</v>
      </c>
      <c r="X161" s="8">
        <v>0</v>
      </c>
      <c r="Y161" s="8">
        <v>1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1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62" t="s">
        <v>49</v>
      </c>
      <c r="AL161" s="62" t="s">
        <v>50</v>
      </c>
      <c r="AM161" s="62" t="s">
        <v>51</v>
      </c>
      <c r="AN161" s="5"/>
      <c r="AO161" s="7"/>
    </row>
    <row r="162" spans="1:41" ht="15.75" customHeight="1" x14ac:dyDescent="0.25">
      <c r="A162" s="4">
        <v>161</v>
      </c>
      <c r="B162" s="5" t="s">
        <v>166</v>
      </c>
      <c r="C162" s="58">
        <v>3.9</v>
      </c>
      <c r="D162" s="61" t="s">
        <v>167</v>
      </c>
      <c r="E162" s="72" t="s">
        <v>87</v>
      </c>
      <c r="F162" s="62" t="s">
        <v>154</v>
      </c>
      <c r="G162" s="8" t="s">
        <v>88</v>
      </c>
      <c r="H162" s="8">
        <v>2013</v>
      </c>
      <c r="I162" s="62" t="s">
        <v>44</v>
      </c>
      <c r="J162" s="62" t="s">
        <v>168</v>
      </c>
      <c r="K162" s="62" t="s">
        <v>162</v>
      </c>
      <c r="L162" s="62" t="s">
        <v>83</v>
      </c>
      <c r="M162" s="62" t="s">
        <v>47</v>
      </c>
      <c r="N162" s="5">
        <v>0</v>
      </c>
      <c r="O162" s="8">
        <v>0</v>
      </c>
      <c r="P162" s="69">
        <v>73000</v>
      </c>
      <c r="Q162" s="69">
        <v>119000</v>
      </c>
      <c r="R162" s="69">
        <v>96000</v>
      </c>
      <c r="S162" s="62" t="s">
        <v>93</v>
      </c>
      <c r="T162" s="8">
        <f t="shared" si="4"/>
        <v>10</v>
      </c>
      <c r="U162" s="8">
        <v>0</v>
      </c>
      <c r="V162" s="8">
        <v>0</v>
      </c>
      <c r="W162" s="8">
        <v>0</v>
      </c>
      <c r="X162" s="8">
        <v>1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62" t="s">
        <v>49</v>
      </c>
      <c r="AL162" s="62" t="s">
        <v>169</v>
      </c>
      <c r="AM162" s="62" t="s">
        <v>108</v>
      </c>
      <c r="AN162" s="5"/>
      <c r="AO162" s="7"/>
    </row>
    <row r="163" spans="1:41" ht="15.75" customHeight="1" x14ac:dyDescent="0.25">
      <c r="A163" s="4">
        <v>162</v>
      </c>
      <c r="B163" s="5" t="s">
        <v>156</v>
      </c>
      <c r="C163" s="58">
        <v>4.2</v>
      </c>
      <c r="D163" s="61" t="s">
        <v>157</v>
      </c>
      <c r="E163" s="72" t="s">
        <v>98</v>
      </c>
      <c r="F163" s="62" t="s">
        <v>114</v>
      </c>
      <c r="G163" s="8" t="s">
        <v>81</v>
      </c>
      <c r="H163" s="8">
        <v>2010</v>
      </c>
      <c r="I163" s="62" t="s">
        <v>44</v>
      </c>
      <c r="J163" s="62" t="s">
        <v>155</v>
      </c>
      <c r="K163" s="62" t="s">
        <v>111</v>
      </c>
      <c r="L163" s="62" t="s">
        <v>83</v>
      </c>
      <c r="M163" s="62" t="s">
        <v>47</v>
      </c>
      <c r="N163" s="5">
        <v>0</v>
      </c>
      <c r="O163" s="8">
        <v>0</v>
      </c>
      <c r="P163" s="69">
        <v>110000</v>
      </c>
      <c r="Q163" s="69">
        <v>175000</v>
      </c>
      <c r="R163" s="69">
        <v>142500</v>
      </c>
      <c r="S163" s="62" t="s">
        <v>102</v>
      </c>
      <c r="T163" s="8">
        <f t="shared" si="4"/>
        <v>13</v>
      </c>
      <c r="U163" s="8">
        <v>0</v>
      </c>
      <c r="V163" s="8">
        <v>0</v>
      </c>
      <c r="W163" s="8">
        <v>0</v>
      </c>
      <c r="X163" s="8">
        <v>0</v>
      </c>
      <c r="Y163" s="8">
        <v>1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62" t="s">
        <v>49</v>
      </c>
      <c r="AL163" s="62" t="s">
        <v>50</v>
      </c>
      <c r="AM163" s="62" t="s">
        <v>77</v>
      </c>
      <c r="AN163" s="5"/>
      <c r="AO163" s="7"/>
    </row>
    <row r="164" spans="1:41" ht="15.75" customHeight="1" x14ac:dyDescent="0.25">
      <c r="A164" s="4">
        <v>163</v>
      </c>
      <c r="B164" s="5" t="s">
        <v>564</v>
      </c>
      <c r="C164" s="58">
        <v>4.2</v>
      </c>
      <c r="D164" s="61" t="s">
        <v>520</v>
      </c>
      <c r="E164" s="72" t="s">
        <v>521</v>
      </c>
      <c r="F164" s="62" t="s">
        <v>522</v>
      </c>
      <c r="G164" s="8" t="s">
        <v>56</v>
      </c>
      <c r="H164" s="8" t="s">
        <v>47</v>
      </c>
      <c r="I164" s="62" t="s">
        <v>160</v>
      </c>
      <c r="J164" s="62" t="s">
        <v>523</v>
      </c>
      <c r="K164" s="62" t="s">
        <v>524</v>
      </c>
      <c r="L164" s="62" t="s">
        <v>83</v>
      </c>
      <c r="M164" s="62" t="s">
        <v>47</v>
      </c>
      <c r="N164" s="5">
        <v>0</v>
      </c>
      <c r="O164" s="8">
        <v>0</v>
      </c>
      <c r="P164" s="69">
        <v>74000</v>
      </c>
      <c r="Q164" s="69">
        <v>140000</v>
      </c>
      <c r="R164" s="69">
        <v>107000</v>
      </c>
      <c r="S164" s="62" t="s">
        <v>525</v>
      </c>
      <c r="T164" s="8" t="s">
        <v>47</v>
      </c>
      <c r="U164" s="8">
        <v>0</v>
      </c>
      <c r="V164" s="8">
        <v>0</v>
      </c>
      <c r="W164" s="8">
        <v>0</v>
      </c>
      <c r="X164" s="8">
        <v>1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62" t="s">
        <v>146</v>
      </c>
      <c r="AL164" s="62" t="s">
        <v>50</v>
      </c>
      <c r="AM164" s="62" t="s">
        <v>51</v>
      </c>
      <c r="AN164" s="5"/>
      <c r="AO164" s="7"/>
    </row>
    <row r="165" spans="1:41" ht="15.75" customHeight="1" x14ac:dyDescent="0.25">
      <c r="A165" s="4">
        <v>164</v>
      </c>
      <c r="B165" s="5" t="s">
        <v>565</v>
      </c>
      <c r="C165" s="58">
        <v>3.5</v>
      </c>
      <c r="D165" s="61" t="s">
        <v>566</v>
      </c>
      <c r="E165" s="72" t="s">
        <v>231</v>
      </c>
      <c r="F165" s="62" t="s">
        <v>231</v>
      </c>
      <c r="G165" s="8" t="s">
        <v>70</v>
      </c>
      <c r="H165" s="8">
        <v>2010</v>
      </c>
      <c r="I165" s="62" t="s">
        <v>44</v>
      </c>
      <c r="J165" s="62" t="s">
        <v>136</v>
      </c>
      <c r="K165" s="62" t="s">
        <v>136</v>
      </c>
      <c r="L165" s="62" t="s">
        <v>91</v>
      </c>
      <c r="M165" s="62" t="s">
        <v>567</v>
      </c>
      <c r="N165" s="5">
        <v>0</v>
      </c>
      <c r="O165" s="8">
        <v>0</v>
      </c>
      <c r="P165" s="69">
        <v>100000</v>
      </c>
      <c r="Q165" s="69">
        <v>190000</v>
      </c>
      <c r="R165" s="69">
        <v>145000</v>
      </c>
      <c r="S165" s="62" t="s">
        <v>138</v>
      </c>
      <c r="T165" s="8">
        <f t="shared" ref="T165:T187" si="5">2023-H165</f>
        <v>13</v>
      </c>
      <c r="U165" s="8">
        <v>1</v>
      </c>
      <c r="V165" s="8">
        <v>0</v>
      </c>
      <c r="W165" s="8">
        <v>0</v>
      </c>
      <c r="X165" s="8">
        <v>1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62" t="s">
        <v>107</v>
      </c>
      <c r="AL165" s="62" t="s">
        <v>169</v>
      </c>
      <c r="AM165" s="62" t="s">
        <v>108</v>
      </c>
      <c r="AN165" s="5"/>
      <c r="AO165" s="7"/>
    </row>
    <row r="166" spans="1:41" ht="15.75" customHeight="1" x14ac:dyDescent="0.25">
      <c r="A166" s="4">
        <v>165</v>
      </c>
      <c r="B166" s="5" t="s">
        <v>433</v>
      </c>
      <c r="C166" s="58">
        <v>2.9</v>
      </c>
      <c r="D166" s="61" t="s">
        <v>568</v>
      </c>
      <c r="E166" s="72" t="s">
        <v>119</v>
      </c>
      <c r="F166" s="62" t="s">
        <v>119</v>
      </c>
      <c r="G166" s="8" t="s">
        <v>88</v>
      </c>
      <c r="H166" s="8">
        <v>1993</v>
      </c>
      <c r="I166" s="62" t="s">
        <v>160</v>
      </c>
      <c r="J166" s="62" t="s">
        <v>532</v>
      </c>
      <c r="K166" s="62" t="s">
        <v>415</v>
      </c>
      <c r="L166" s="62" t="s">
        <v>101</v>
      </c>
      <c r="M166" s="62" t="s">
        <v>569</v>
      </c>
      <c r="N166" s="5">
        <v>0</v>
      </c>
      <c r="O166" s="8">
        <v>0</v>
      </c>
      <c r="P166" s="69">
        <v>43000</v>
      </c>
      <c r="Q166" s="69">
        <v>80000</v>
      </c>
      <c r="R166" s="69">
        <v>61500</v>
      </c>
      <c r="S166" s="62" t="s">
        <v>122</v>
      </c>
      <c r="T166" s="8">
        <f t="shared" si="5"/>
        <v>30</v>
      </c>
      <c r="U166" s="8">
        <v>1</v>
      </c>
      <c r="V166" s="8">
        <v>0</v>
      </c>
      <c r="W166" s="8">
        <v>0</v>
      </c>
      <c r="X166" s="8">
        <v>1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1</v>
      </c>
      <c r="AG166" s="8">
        <v>1</v>
      </c>
      <c r="AH166" s="8">
        <v>0</v>
      </c>
      <c r="AI166" s="8">
        <v>0</v>
      </c>
      <c r="AJ166" s="8">
        <v>0</v>
      </c>
      <c r="AK166" s="62" t="s">
        <v>132</v>
      </c>
      <c r="AL166" s="62" t="s">
        <v>169</v>
      </c>
      <c r="AM166" s="62" t="s">
        <v>51</v>
      </c>
      <c r="AN166" s="5"/>
      <c r="AO166" s="7"/>
    </row>
    <row r="167" spans="1:41" ht="15.75" customHeight="1" x14ac:dyDescent="0.25">
      <c r="A167" s="4">
        <v>166</v>
      </c>
      <c r="B167" s="5" t="s">
        <v>570</v>
      </c>
      <c r="C167" s="58">
        <v>3.6</v>
      </c>
      <c r="D167" s="61" t="s">
        <v>571</v>
      </c>
      <c r="E167" s="72" t="s">
        <v>572</v>
      </c>
      <c r="F167" s="62" t="s">
        <v>573</v>
      </c>
      <c r="G167" s="8" t="s">
        <v>120</v>
      </c>
      <c r="H167" s="8">
        <v>2017</v>
      </c>
      <c r="I167" s="62" t="s">
        <v>160</v>
      </c>
      <c r="J167" s="62" t="s">
        <v>58</v>
      </c>
      <c r="K167" s="62" t="s">
        <v>59</v>
      </c>
      <c r="L167" s="62" t="s">
        <v>83</v>
      </c>
      <c r="M167" s="62" t="s">
        <v>47</v>
      </c>
      <c r="N167" s="5">
        <v>1</v>
      </c>
      <c r="O167" s="8">
        <v>0</v>
      </c>
      <c r="P167" s="69">
        <v>35000</v>
      </c>
      <c r="Q167" s="69">
        <v>49000</v>
      </c>
      <c r="R167" s="69">
        <v>42000</v>
      </c>
      <c r="S167" s="62" t="s">
        <v>305</v>
      </c>
      <c r="T167" s="8">
        <f t="shared" si="5"/>
        <v>6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8">
        <v>0</v>
      </c>
      <c r="AJ167" s="8">
        <v>0</v>
      </c>
      <c r="AK167" s="62" t="s">
        <v>107</v>
      </c>
      <c r="AL167" s="62" t="s">
        <v>50</v>
      </c>
      <c r="AM167" s="62" t="s">
        <v>77</v>
      </c>
      <c r="AN167" s="5"/>
      <c r="AO167" s="7"/>
    </row>
    <row r="168" spans="1:41" ht="15.75" customHeight="1" x14ac:dyDescent="0.25">
      <c r="A168" s="4">
        <v>167</v>
      </c>
      <c r="B168" s="5" t="s">
        <v>574</v>
      </c>
      <c r="C168" s="58">
        <v>2.7</v>
      </c>
      <c r="D168" s="61" t="s">
        <v>575</v>
      </c>
      <c r="E168" s="72" t="s">
        <v>576</v>
      </c>
      <c r="F168" s="62" t="s">
        <v>576</v>
      </c>
      <c r="G168" s="8" t="s">
        <v>81</v>
      </c>
      <c r="H168" s="8">
        <v>1951</v>
      </c>
      <c r="I168" s="62" t="s">
        <v>71</v>
      </c>
      <c r="J168" s="62" t="s">
        <v>577</v>
      </c>
      <c r="K168" s="62" t="s">
        <v>96</v>
      </c>
      <c r="L168" s="62" t="s">
        <v>46</v>
      </c>
      <c r="M168" s="62" t="s">
        <v>47</v>
      </c>
      <c r="N168" s="5">
        <v>0</v>
      </c>
      <c r="O168" s="8">
        <v>0</v>
      </c>
      <c r="P168" s="69">
        <v>91000</v>
      </c>
      <c r="Q168" s="69">
        <v>149000</v>
      </c>
      <c r="R168" s="69">
        <v>120000</v>
      </c>
      <c r="S168" s="62" t="s">
        <v>403</v>
      </c>
      <c r="T168" s="8">
        <f t="shared" si="5"/>
        <v>72</v>
      </c>
      <c r="U168" s="8">
        <v>1</v>
      </c>
      <c r="V168" s="8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1</v>
      </c>
      <c r="AG168" s="8">
        <v>1</v>
      </c>
      <c r="AH168" s="8">
        <v>0</v>
      </c>
      <c r="AI168" s="8">
        <v>0</v>
      </c>
      <c r="AJ168" s="8">
        <v>0</v>
      </c>
      <c r="AK168" s="62" t="s">
        <v>49</v>
      </c>
      <c r="AL168" s="62" t="s">
        <v>50</v>
      </c>
      <c r="AM168" s="62" t="s">
        <v>77</v>
      </c>
      <c r="AN168" s="5"/>
      <c r="AO168" s="7"/>
    </row>
    <row r="169" spans="1:41" ht="15.75" customHeight="1" x14ac:dyDescent="0.25">
      <c r="A169" s="4">
        <v>168</v>
      </c>
      <c r="B169" s="5" t="s">
        <v>578</v>
      </c>
      <c r="C169" s="58">
        <v>4.4000000000000004</v>
      </c>
      <c r="D169" s="61" t="s">
        <v>579</v>
      </c>
      <c r="E169" s="72" t="s">
        <v>134</v>
      </c>
      <c r="F169" s="62" t="s">
        <v>134</v>
      </c>
      <c r="G169" s="8" t="s">
        <v>88</v>
      </c>
      <c r="H169" s="8">
        <v>2013</v>
      </c>
      <c r="I169" s="62" t="s">
        <v>89</v>
      </c>
      <c r="J169" s="62" t="s">
        <v>136</v>
      </c>
      <c r="K169" s="62" t="s">
        <v>136</v>
      </c>
      <c r="L169" s="62" t="s">
        <v>66</v>
      </c>
      <c r="M169" s="62" t="s">
        <v>47</v>
      </c>
      <c r="N169" s="5">
        <v>0</v>
      </c>
      <c r="O169" s="8">
        <v>0</v>
      </c>
      <c r="P169" s="69">
        <v>42000</v>
      </c>
      <c r="Q169" s="69">
        <v>82000</v>
      </c>
      <c r="R169" s="69">
        <v>62000</v>
      </c>
      <c r="S169" s="62" t="s">
        <v>138</v>
      </c>
      <c r="T169" s="8">
        <f t="shared" si="5"/>
        <v>10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62" t="s">
        <v>107</v>
      </c>
      <c r="AL169" s="62" t="s">
        <v>50</v>
      </c>
      <c r="AM169" s="62" t="s">
        <v>108</v>
      </c>
      <c r="AN169" s="5"/>
      <c r="AO169" s="7"/>
    </row>
    <row r="170" spans="1:41" ht="15.75" customHeight="1" x14ac:dyDescent="0.25">
      <c r="A170" s="4">
        <v>169</v>
      </c>
      <c r="B170" s="5" t="s">
        <v>220</v>
      </c>
      <c r="C170" s="58">
        <v>4</v>
      </c>
      <c r="D170" s="61" t="s">
        <v>446</v>
      </c>
      <c r="E170" s="72" t="s">
        <v>98</v>
      </c>
      <c r="F170" s="62" t="s">
        <v>447</v>
      </c>
      <c r="G170" s="8" t="s">
        <v>120</v>
      </c>
      <c r="H170" s="8">
        <v>1982</v>
      </c>
      <c r="I170" s="62" t="s">
        <v>89</v>
      </c>
      <c r="J170" s="62" t="s">
        <v>216</v>
      </c>
      <c r="K170" s="62" t="s">
        <v>111</v>
      </c>
      <c r="L170" s="62" t="s">
        <v>60</v>
      </c>
      <c r="M170" s="62" t="s">
        <v>47</v>
      </c>
      <c r="N170" s="5">
        <v>0</v>
      </c>
      <c r="O170" s="8">
        <v>0</v>
      </c>
      <c r="P170" s="69">
        <v>116000</v>
      </c>
      <c r="Q170" s="69">
        <v>185000</v>
      </c>
      <c r="R170" s="69">
        <v>150500</v>
      </c>
      <c r="S170" s="62" t="s">
        <v>102</v>
      </c>
      <c r="T170" s="8">
        <f t="shared" si="5"/>
        <v>41</v>
      </c>
      <c r="U170" s="8">
        <v>1</v>
      </c>
      <c r="V170" s="8">
        <v>1</v>
      </c>
      <c r="W170" s="8">
        <v>0</v>
      </c>
      <c r="X170" s="8">
        <v>0</v>
      </c>
      <c r="Y170" s="8">
        <v>1</v>
      </c>
      <c r="Z170" s="8">
        <v>1</v>
      </c>
      <c r="AA170" s="8">
        <v>0</v>
      </c>
      <c r="AB170" s="8">
        <v>0</v>
      </c>
      <c r="AC170" s="8">
        <v>1</v>
      </c>
      <c r="AD170" s="8">
        <v>1</v>
      </c>
      <c r="AE170" s="8">
        <v>1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62" t="s">
        <v>49</v>
      </c>
      <c r="AL170" s="62" t="s">
        <v>169</v>
      </c>
      <c r="AM170" s="62" t="s">
        <v>108</v>
      </c>
      <c r="AN170" s="5"/>
      <c r="AO170" s="7"/>
    </row>
    <row r="171" spans="1:41" ht="15.75" customHeight="1" x14ac:dyDescent="0.25">
      <c r="A171" s="4">
        <v>170</v>
      </c>
      <c r="B171" s="5" t="s">
        <v>580</v>
      </c>
      <c r="C171" s="58">
        <v>4.3</v>
      </c>
      <c r="D171" s="61" t="s">
        <v>581</v>
      </c>
      <c r="E171" s="72" t="s">
        <v>582</v>
      </c>
      <c r="F171" s="62" t="s">
        <v>199</v>
      </c>
      <c r="G171" s="8" t="s">
        <v>88</v>
      </c>
      <c r="H171" s="8">
        <v>1967</v>
      </c>
      <c r="I171" s="62" t="s">
        <v>44</v>
      </c>
      <c r="J171" s="62" t="s">
        <v>82</v>
      </c>
      <c r="K171" s="62" t="s">
        <v>65</v>
      </c>
      <c r="L171" s="62" t="s">
        <v>83</v>
      </c>
      <c r="M171" s="62" t="s">
        <v>47</v>
      </c>
      <c r="N171" s="5">
        <v>0</v>
      </c>
      <c r="O171" s="8">
        <v>0</v>
      </c>
      <c r="P171" s="69">
        <v>59000</v>
      </c>
      <c r="Q171" s="69">
        <v>116000</v>
      </c>
      <c r="R171" s="69">
        <v>87500</v>
      </c>
      <c r="S171" s="62" t="s">
        <v>200</v>
      </c>
      <c r="T171" s="8">
        <f t="shared" si="5"/>
        <v>56</v>
      </c>
      <c r="U171" s="8">
        <v>0</v>
      </c>
      <c r="V171" s="8">
        <v>0</v>
      </c>
      <c r="W171" s="8">
        <v>0</v>
      </c>
      <c r="X171" s="8">
        <v>1</v>
      </c>
      <c r="Y171" s="8">
        <v>1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1</v>
      </c>
      <c r="AG171" s="8">
        <v>0</v>
      </c>
      <c r="AH171" s="8">
        <v>0</v>
      </c>
      <c r="AI171" s="8">
        <v>0</v>
      </c>
      <c r="AJ171" s="8">
        <v>0</v>
      </c>
      <c r="AK171" s="62" t="s">
        <v>486</v>
      </c>
      <c r="AL171" s="62" t="s">
        <v>50</v>
      </c>
      <c r="AM171" s="62" t="s">
        <v>77</v>
      </c>
      <c r="AN171" s="5"/>
      <c r="AO171" s="7"/>
    </row>
    <row r="172" spans="1:41" ht="15.75" customHeight="1" x14ac:dyDescent="0.25">
      <c r="A172" s="4">
        <v>171</v>
      </c>
      <c r="B172" s="5" t="s">
        <v>224</v>
      </c>
      <c r="C172" s="58">
        <v>4.2</v>
      </c>
      <c r="D172" s="61" t="s">
        <v>583</v>
      </c>
      <c r="E172" s="72" t="s">
        <v>584</v>
      </c>
      <c r="F172" s="62" t="s">
        <v>585</v>
      </c>
      <c r="G172" s="8" t="s">
        <v>81</v>
      </c>
      <c r="H172" s="8">
        <v>2006</v>
      </c>
      <c r="I172" s="62" t="s">
        <v>89</v>
      </c>
      <c r="J172" s="62" t="s">
        <v>82</v>
      </c>
      <c r="K172" s="62" t="s">
        <v>65</v>
      </c>
      <c r="L172" s="62" t="s">
        <v>101</v>
      </c>
      <c r="M172" s="62" t="s">
        <v>586</v>
      </c>
      <c r="N172" s="5">
        <v>0</v>
      </c>
      <c r="O172" s="8">
        <v>0</v>
      </c>
      <c r="P172" s="69">
        <v>48000</v>
      </c>
      <c r="Q172" s="69">
        <v>95000</v>
      </c>
      <c r="R172" s="69">
        <v>71500</v>
      </c>
      <c r="S172" s="62" t="s">
        <v>67</v>
      </c>
      <c r="T172" s="8">
        <f t="shared" si="5"/>
        <v>17</v>
      </c>
      <c r="U172" s="8">
        <v>1</v>
      </c>
      <c r="V172" s="8">
        <v>1</v>
      </c>
      <c r="W172" s="8">
        <v>1</v>
      </c>
      <c r="X172" s="8">
        <v>1</v>
      </c>
      <c r="Y172" s="8">
        <v>1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1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  <c r="AK172" s="62" t="s">
        <v>146</v>
      </c>
      <c r="AL172" s="62" t="s">
        <v>50</v>
      </c>
      <c r="AM172" s="62" t="s">
        <v>77</v>
      </c>
      <c r="AN172" s="5"/>
      <c r="AO172" s="7"/>
    </row>
    <row r="173" spans="1:41" ht="15.75" customHeight="1" x14ac:dyDescent="0.25">
      <c r="A173" s="4">
        <v>172</v>
      </c>
      <c r="B173" s="5" t="s">
        <v>587</v>
      </c>
      <c r="C173" s="58">
        <v>3.6</v>
      </c>
      <c r="D173" s="61" t="s">
        <v>588</v>
      </c>
      <c r="E173" s="72" t="s">
        <v>98</v>
      </c>
      <c r="F173" s="62" t="s">
        <v>447</v>
      </c>
      <c r="G173" s="8" t="s">
        <v>81</v>
      </c>
      <c r="H173" s="8">
        <v>2006</v>
      </c>
      <c r="I173" s="62" t="s">
        <v>142</v>
      </c>
      <c r="J173" s="62" t="s">
        <v>127</v>
      </c>
      <c r="K173" s="62" t="s">
        <v>116</v>
      </c>
      <c r="L173" s="62" t="s">
        <v>66</v>
      </c>
      <c r="M173" s="62" t="s">
        <v>47</v>
      </c>
      <c r="N173" s="5">
        <v>0</v>
      </c>
      <c r="O173" s="8">
        <v>0</v>
      </c>
      <c r="P173" s="69">
        <v>31000</v>
      </c>
      <c r="Q173" s="69">
        <v>72000</v>
      </c>
      <c r="R173" s="69">
        <v>51500</v>
      </c>
      <c r="S173" s="62" t="s">
        <v>102</v>
      </c>
      <c r="T173" s="8">
        <f t="shared" si="5"/>
        <v>17</v>
      </c>
      <c r="U173" s="8">
        <v>0</v>
      </c>
      <c r="V173" s="8">
        <v>0</v>
      </c>
      <c r="W173" s="8">
        <v>0</v>
      </c>
      <c r="X173" s="8">
        <v>1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1</v>
      </c>
      <c r="AK173" s="62" t="s">
        <v>132</v>
      </c>
      <c r="AL173" s="62" t="s">
        <v>50</v>
      </c>
      <c r="AM173" s="62" t="s">
        <v>77</v>
      </c>
      <c r="AN173" s="5"/>
      <c r="AO173" s="7"/>
    </row>
    <row r="174" spans="1:41" ht="15.75" customHeight="1" x14ac:dyDescent="0.25">
      <c r="A174" s="4">
        <v>173</v>
      </c>
      <c r="B174" s="5" t="s">
        <v>589</v>
      </c>
      <c r="C174" s="58">
        <v>3.7</v>
      </c>
      <c r="D174" s="61" t="s">
        <v>133</v>
      </c>
      <c r="E174" s="72" t="s">
        <v>98</v>
      </c>
      <c r="F174" s="62" t="s">
        <v>135</v>
      </c>
      <c r="G174" s="8" t="s">
        <v>56</v>
      </c>
      <c r="H174" s="8">
        <v>1781</v>
      </c>
      <c r="I174" s="62" t="s">
        <v>89</v>
      </c>
      <c r="J174" s="62" t="s">
        <v>136</v>
      </c>
      <c r="K174" s="62" t="s">
        <v>136</v>
      </c>
      <c r="L174" s="62" t="s">
        <v>128</v>
      </c>
      <c r="M174" s="62" t="s">
        <v>137</v>
      </c>
      <c r="N174" s="5">
        <v>0</v>
      </c>
      <c r="O174" s="8">
        <v>0</v>
      </c>
      <c r="P174" s="69">
        <v>105000</v>
      </c>
      <c r="Q174" s="69">
        <v>198000</v>
      </c>
      <c r="R174" s="69">
        <v>151500</v>
      </c>
      <c r="S174" s="62" t="s">
        <v>102</v>
      </c>
      <c r="T174" s="8">
        <f t="shared" si="5"/>
        <v>242</v>
      </c>
      <c r="U174" s="8">
        <v>0</v>
      </c>
      <c r="V174" s="8">
        <v>0</v>
      </c>
      <c r="W174" s="8">
        <v>0</v>
      </c>
      <c r="X174" s="8">
        <v>1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62" t="s">
        <v>107</v>
      </c>
      <c r="AL174" s="62" t="s">
        <v>169</v>
      </c>
      <c r="AM174" s="62" t="s">
        <v>51</v>
      </c>
      <c r="AN174" s="5"/>
      <c r="AO174" s="7"/>
    </row>
    <row r="175" spans="1:41" ht="15.75" customHeight="1" x14ac:dyDescent="0.25">
      <c r="A175" s="4">
        <v>174</v>
      </c>
      <c r="B175" s="5" t="s">
        <v>433</v>
      </c>
      <c r="C175" s="58">
        <v>2.8</v>
      </c>
      <c r="D175" s="61" t="s">
        <v>590</v>
      </c>
      <c r="E175" s="72" t="s">
        <v>591</v>
      </c>
      <c r="F175" s="62" t="s">
        <v>591</v>
      </c>
      <c r="G175" s="8" t="s">
        <v>88</v>
      </c>
      <c r="H175" s="8">
        <v>2014</v>
      </c>
      <c r="I175" s="62" t="s">
        <v>44</v>
      </c>
      <c r="J175" s="62" t="s">
        <v>213</v>
      </c>
      <c r="K175" s="62" t="s">
        <v>111</v>
      </c>
      <c r="L175" s="62" t="s">
        <v>83</v>
      </c>
      <c r="M175" s="62" t="s">
        <v>47</v>
      </c>
      <c r="N175" s="5">
        <v>0</v>
      </c>
      <c r="O175" s="8">
        <v>0</v>
      </c>
      <c r="P175" s="69">
        <v>55000</v>
      </c>
      <c r="Q175" s="69">
        <v>100000</v>
      </c>
      <c r="R175" s="69">
        <v>77500</v>
      </c>
      <c r="S175" s="62" t="s">
        <v>145</v>
      </c>
      <c r="T175" s="8">
        <f t="shared" si="5"/>
        <v>9</v>
      </c>
      <c r="U175" s="8">
        <v>1</v>
      </c>
      <c r="V175" s="8">
        <v>0</v>
      </c>
      <c r="W175" s="8">
        <v>0</v>
      </c>
      <c r="X175" s="8">
        <v>1</v>
      </c>
      <c r="Y175" s="8">
        <v>1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1</v>
      </c>
      <c r="AG175" s="8">
        <v>0</v>
      </c>
      <c r="AH175" s="8">
        <v>0</v>
      </c>
      <c r="AI175" s="8">
        <v>0</v>
      </c>
      <c r="AJ175" s="8">
        <v>0</v>
      </c>
      <c r="AK175" s="62" t="s">
        <v>132</v>
      </c>
      <c r="AL175" s="62" t="s">
        <v>169</v>
      </c>
      <c r="AM175" s="62" t="s">
        <v>77</v>
      </c>
      <c r="AN175" s="5"/>
      <c r="AO175" s="7"/>
    </row>
    <row r="176" spans="1:41" ht="15.75" customHeight="1" x14ac:dyDescent="0.25">
      <c r="A176" s="4">
        <v>175</v>
      </c>
      <c r="B176" s="5" t="s">
        <v>592</v>
      </c>
      <c r="C176" s="58">
        <v>3.7</v>
      </c>
      <c r="D176" s="61" t="s">
        <v>133</v>
      </c>
      <c r="E176" s="72" t="s">
        <v>269</v>
      </c>
      <c r="F176" s="62" t="s">
        <v>135</v>
      </c>
      <c r="G176" s="8" t="s">
        <v>56</v>
      </c>
      <c r="H176" s="8">
        <v>1781</v>
      </c>
      <c r="I176" s="62" t="s">
        <v>89</v>
      </c>
      <c r="J176" s="62" t="s">
        <v>136</v>
      </c>
      <c r="K176" s="62" t="s">
        <v>136</v>
      </c>
      <c r="L176" s="62" t="s">
        <v>128</v>
      </c>
      <c r="M176" s="62" t="s">
        <v>137</v>
      </c>
      <c r="N176" s="5">
        <v>0</v>
      </c>
      <c r="O176" s="8">
        <v>0</v>
      </c>
      <c r="P176" s="69">
        <v>98000</v>
      </c>
      <c r="Q176" s="69">
        <v>182000</v>
      </c>
      <c r="R176" s="69">
        <v>140000</v>
      </c>
      <c r="S176" s="62" t="s">
        <v>138</v>
      </c>
      <c r="T176" s="8">
        <f t="shared" si="5"/>
        <v>242</v>
      </c>
      <c r="U176" s="8">
        <v>0</v>
      </c>
      <c r="V176" s="8">
        <v>0</v>
      </c>
      <c r="W176" s="8">
        <v>0</v>
      </c>
      <c r="X176" s="8">
        <v>1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62" t="s">
        <v>107</v>
      </c>
      <c r="AL176" s="62" t="s">
        <v>169</v>
      </c>
      <c r="AM176" s="62" t="s">
        <v>51</v>
      </c>
      <c r="AN176" s="5"/>
      <c r="AO176" s="7"/>
    </row>
    <row r="177" spans="1:41" ht="15.75" customHeight="1" x14ac:dyDescent="0.25">
      <c r="A177" s="4">
        <v>176</v>
      </c>
      <c r="B177" s="5" t="s">
        <v>220</v>
      </c>
      <c r="C177" s="58">
        <v>3.3</v>
      </c>
      <c r="D177" s="61" t="s">
        <v>593</v>
      </c>
      <c r="E177" s="72" t="s">
        <v>594</v>
      </c>
      <c r="F177" s="62" t="s">
        <v>269</v>
      </c>
      <c r="G177" s="8" t="s">
        <v>70</v>
      </c>
      <c r="H177" s="8">
        <v>1982</v>
      </c>
      <c r="I177" s="62" t="s">
        <v>44</v>
      </c>
      <c r="J177" s="62" t="s">
        <v>161</v>
      </c>
      <c r="K177" s="62" t="s">
        <v>162</v>
      </c>
      <c r="L177" s="62" t="s">
        <v>180</v>
      </c>
      <c r="M177" s="62" t="s">
        <v>595</v>
      </c>
      <c r="N177" s="5">
        <v>0</v>
      </c>
      <c r="O177" s="8">
        <v>0</v>
      </c>
      <c r="P177" s="69">
        <v>73000</v>
      </c>
      <c r="Q177" s="69">
        <v>124000</v>
      </c>
      <c r="R177" s="69">
        <v>98500</v>
      </c>
      <c r="S177" s="62" t="s">
        <v>145</v>
      </c>
      <c r="T177" s="8">
        <f t="shared" si="5"/>
        <v>41</v>
      </c>
      <c r="U177" s="8">
        <v>0</v>
      </c>
      <c r="V177" s="8">
        <v>0</v>
      </c>
      <c r="W177" s="8">
        <v>0</v>
      </c>
      <c r="X177" s="8">
        <v>1</v>
      </c>
      <c r="Y177" s="8">
        <v>1</v>
      </c>
      <c r="Z177" s="8">
        <v>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62" t="s">
        <v>49</v>
      </c>
      <c r="AL177" s="62" t="s">
        <v>169</v>
      </c>
      <c r="AM177" s="62" t="s">
        <v>51</v>
      </c>
      <c r="AN177" s="5"/>
      <c r="AO177" s="7"/>
    </row>
    <row r="178" spans="1:41" ht="15.75" customHeight="1" x14ac:dyDescent="0.25">
      <c r="A178" s="4">
        <v>177</v>
      </c>
      <c r="B178" s="5" t="s">
        <v>596</v>
      </c>
      <c r="C178" s="58">
        <v>0</v>
      </c>
      <c r="D178" s="61" t="s">
        <v>597</v>
      </c>
      <c r="E178" s="72" t="s">
        <v>98</v>
      </c>
      <c r="F178" s="62" t="s">
        <v>222</v>
      </c>
      <c r="G178" s="8" t="s">
        <v>81</v>
      </c>
      <c r="H178" s="8">
        <v>2017</v>
      </c>
      <c r="I178" s="62" t="s">
        <v>44</v>
      </c>
      <c r="J178" s="62" t="s">
        <v>213</v>
      </c>
      <c r="K178" s="62" t="s">
        <v>111</v>
      </c>
      <c r="L178" s="62" t="s">
        <v>318</v>
      </c>
      <c r="M178" s="62" t="s">
        <v>47</v>
      </c>
      <c r="N178" s="5">
        <v>0</v>
      </c>
      <c r="O178" s="8">
        <v>1</v>
      </c>
      <c r="P178" s="69">
        <v>200000</v>
      </c>
      <c r="Q178" s="69">
        <v>250000</v>
      </c>
      <c r="R178" s="69">
        <v>225000</v>
      </c>
      <c r="S178" s="62" t="s">
        <v>102</v>
      </c>
      <c r="T178" s="8">
        <f t="shared" si="5"/>
        <v>6</v>
      </c>
      <c r="U178" s="8">
        <v>1</v>
      </c>
      <c r="V178" s="8">
        <v>0</v>
      </c>
      <c r="W178" s="8">
        <v>1</v>
      </c>
      <c r="X178" s="8">
        <v>1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1</v>
      </c>
      <c r="AG178" s="8">
        <v>0</v>
      </c>
      <c r="AH178" s="8">
        <v>0</v>
      </c>
      <c r="AI178" s="8">
        <v>0</v>
      </c>
      <c r="AJ178" s="8">
        <v>0</v>
      </c>
      <c r="AK178" s="62" t="s">
        <v>49</v>
      </c>
      <c r="AL178" s="62" t="s">
        <v>169</v>
      </c>
      <c r="AM178" s="62" t="s">
        <v>77</v>
      </c>
      <c r="AN178" s="5"/>
      <c r="AO178" s="7"/>
    </row>
    <row r="179" spans="1:41" ht="15.75" customHeight="1" x14ac:dyDescent="0.25">
      <c r="A179" s="4">
        <v>178</v>
      </c>
      <c r="B179" s="5" t="s">
        <v>598</v>
      </c>
      <c r="C179" s="58">
        <v>3.6</v>
      </c>
      <c r="D179" s="61" t="s">
        <v>599</v>
      </c>
      <c r="E179" s="72" t="s">
        <v>600</v>
      </c>
      <c r="F179" s="62" t="s">
        <v>600</v>
      </c>
      <c r="G179" s="8" t="s">
        <v>70</v>
      </c>
      <c r="H179" s="8">
        <v>1935</v>
      </c>
      <c r="I179" s="62" t="s">
        <v>160</v>
      </c>
      <c r="J179" s="62" t="s">
        <v>58</v>
      </c>
      <c r="K179" s="62" t="s">
        <v>59</v>
      </c>
      <c r="L179" s="62" t="s">
        <v>66</v>
      </c>
      <c r="M179" s="62" t="s">
        <v>47</v>
      </c>
      <c r="N179" s="5">
        <v>1</v>
      </c>
      <c r="O179" s="8">
        <v>0</v>
      </c>
      <c r="P179" s="69">
        <v>43000</v>
      </c>
      <c r="Q179" s="69">
        <v>70000</v>
      </c>
      <c r="R179" s="69">
        <v>56500</v>
      </c>
      <c r="S179" s="62" t="s">
        <v>601</v>
      </c>
      <c r="T179" s="8">
        <f t="shared" si="5"/>
        <v>88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8">
        <v>0</v>
      </c>
      <c r="AJ179" s="8">
        <v>0</v>
      </c>
      <c r="AK179" s="62" t="s">
        <v>107</v>
      </c>
      <c r="AL179" s="62" t="s">
        <v>50</v>
      </c>
      <c r="AM179" s="62" t="s">
        <v>77</v>
      </c>
      <c r="AN179" s="5"/>
      <c r="AO179" s="7"/>
    </row>
    <row r="180" spans="1:41" ht="15.75" customHeight="1" x14ac:dyDescent="0.25">
      <c r="A180" s="4">
        <v>179</v>
      </c>
      <c r="B180" s="5" t="s">
        <v>602</v>
      </c>
      <c r="C180" s="58">
        <v>3.7</v>
      </c>
      <c r="D180" s="61" t="s">
        <v>133</v>
      </c>
      <c r="E180" s="72" t="s">
        <v>269</v>
      </c>
      <c r="F180" s="62" t="s">
        <v>135</v>
      </c>
      <c r="G180" s="8" t="s">
        <v>56</v>
      </c>
      <c r="H180" s="8">
        <v>1781</v>
      </c>
      <c r="I180" s="62" t="s">
        <v>89</v>
      </c>
      <c r="J180" s="62" t="s">
        <v>136</v>
      </c>
      <c r="K180" s="62" t="s">
        <v>136</v>
      </c>
      <c r="L180" s="62" t="s">
        <v>128</v>
      </c>
      <c r="M180" s="62" t="s">
        <v>137</v>
      </c>
      <c r="N180" s="5">
        <v>0</v>
      </c>
      <c r="O180" s="8">
        <v>0</v>
      </c>
      <c r="P180" s="69">
        <v>117000</v>
      </c>
      <c r="Q180" s="69">
        <v>206000</v>
      </c>
      <c r="R180" s="69">
        <v>161500</v>
      </c>
      <c r="S180" s="62" t="s">
        <v>138</v>
      </c>
      <c r="T180" s="8">
        <f t="shared" si="5"/>
        <v>242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8">
        <v>0</v>
      </c>
      <c r="AJ180" s="8">
        <v>0</v>
      </c>
      <c r="AK180" s="62" t="s">
        <v>107</v>
      </c>
      <c r="AL180" s="62" t="s">
        <v>169</v>
      </c>
      <c r="AM180" s="62" t="s">
        <v>51</v>
      </c>
      <c r="AN180" s="5"/>
      <c r="AO180" s="7"/>
    </row>
    <row r="181" spans="1:41" ht="15.75" customHeight="1" x14ac:dyDescent="0.25">
      <c r="A181" s="4">
        <v>180</v>
      </c>
      <c r="B181" s="5" t="s">
        <v>603</v>
      </c>
      <c r="C181" s="58">
        <v>3.4</v>
      </c>
      <c r="D181" s="61" t="s">
        <v>604</v>
      </c>
      <c r="E181" s="72" t="s">
        <v>79</v>
      </c>
      <c r="F181" s="62" t="s">
        <v>605</v>
      </c>
      <c r="G181" s="8" t="s">
        <v>70</v>
      </c>
      <c r="H181" s="8">
        <v>1948</v>
      </c>
      <c r="I181" s="62" t="s">
        <v>89</v>
      </c>
      <c r="J181" s="62" t="s">
        <v>161</v>
      </c>
      <c r="K181" s="62" t="s">
        <v>162</v>
      </c>
      <c r="L181" s="62" t="s">
        <v>91</v>
      </c>
      <c r="M181" s="62" t="s">
        <v>47</v>
      </c>
      <c r="N181" s="5">
        <v>0</v>
      </c>
      <c r="O181" s="8">
        <v>0</v>
      </c>
      <c r="P181" s="69">
        <v>111000</v>
      </c>
      <c r="Q181" s="69">
        <v>183000</v>
      </c>
      <c r="R181" s="69">
        <v>147000</v>
      </c>
      <c r="S181" s="62" t="s">
        <v>85</v>
      </c>
      <c r="T181" s="8">
        <f t="shared" si="5"/>
        <v>75</v>
      </c>
      <c r="U181" s="8">
        <v>1</v>
      </c>
      <c r="V181" s="8">
        <v>1</v>
      </c>
      <c r="W181" s="8">
        <v>1</v>
      </c>
      <c r="X181" s="8">
        <v>0</v>
      </c>
      <c r="Y181" s="8">
        <v>1</v>
      </c>
      <c r="Z181" s="8">
        <v>0</v>
      </c>
      <c r="AA181" s="8">
        <v>1</v>
      </c>
      <c r="AB181" s="8">
        <v>1</v>
      </c>
      <c r="AC181" s="8">
        <v>1</v>
      </c>
      <c r="AD181" s="8">
        <v>1</v>
      </c>
      <c r="AE181" s="8">
        <v>1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62" t="s">
        <v>49</v>
      </c>
      <c r="AL181" s="62" t="s">
        <v>169</v>
      </c>
      <c r="AM181" s="62" t="s">
        <v>77</v>
      </c>
      <c r="AN181" s="5"/>
      <c r="AO181" s="7"/>
    </row>
    <row r="182" spans="1:41" ht="15.75" customHeight="1" x14ac:dyDescent="0.25">
      <c r="A182" s="4">
        <v>181</v>
      </c>
      <c r="B182" s="5" t="s">
        <v>606</v>
      </c>
      <c r="C182" s="58">
        <v>4.0999999999999996</v>
      </c>
      <c r="D182" s="61" t="s">
        <v>607</v>
      </c>
      <c r="E182" s="72" t="s">
        <v>608</v>
      </c>
      <c r="F182" s="62" t="s">
        <v>608</v>
      </c>
      <c r="G182" s="8" t="s">
        <v>43</v>
      </c>
      <c r="H182" s="8">
        <v>1961</v>
      </c>
      <c r="I182" s="62" t="s">
        <v>44</v>
      </c>
      <c r="J182" s="62" t="s">
        <v>72</v>
      </c>
      <c r="K182" s="62" t="s">
        <v>73</v>
      </c>
      <c r="L182" s="62" t="s">
        <v>91</v>
      </c>
      <c r="M182" s="62" t="s">
        <v>47</v>
      </c>
      <c r="N182" s="5">
        <v>0</v>
      </c>
      <c r="O182" s="8">
        <v>0</v>
      </c>
      <c r="P182" s="69">
        <v>44000</v>
      </c>
      <c r="Q182" s="69">
        <v>78000</v>
      </c>
      <c r="R182" s="69">
        <v>61000</v>
      </c>
      <c r="S182" s="62" t="s">
        <v>288</v>
      </c>
      <c r="T182" s="8">
        <f t="shared" si="5"/>
        <v>62</v>
      </c>
      <c r="U182" s="8">
        <v>0</v>
      </c>
      <c r="V182" s="8">
        <v>0</v>
      </c>
      <c r="W182" s="8">
        <v>0</v>
      </c>
      <c r="X182" s="8">
        <v>1</v>
      </c>
      <c r="Y182" s="8">
        <v>1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62" t="s">
        <v>132</v>
      </c>
      <c r="AL182" s="62" t="s">
        <v>50</v>
      </c>
      <c r="AM182" s="62" t="s">
        <v>51</v>
      </c>
      <c r="AN182" s="5"/>
      <c r="AO182" s="7"/>
    </row>
    <row r="183" spans="1:41" ht="15.75" customHeight="1" x14ac:dyDescent="0.25">
      <c r="A183" s="4">
        <v>182</v>
      </c>
      <c r="B183" s="5" t="s">
        <v>609</v>
      </c>
      <c r="C183" s="58">
        <v>2.6</v>
      </c>
      <c r="D183" s="61" t="s">
        <v>530</v>
      </c>
      <c r="E183" s="72" t="s">
        <v>342</v>
      </c>
      <c r="F183" s="62" t="s">
        <v>342</v>
      </c>
      <c r="G183" s="8" t="s">
        <v>43</v>
      </c>
      <c r="H183" s="8">
        <v>1984</v>
      </c>
      <c r="I183" s="62" t="s">
        <v>531</v>
      </c>
      <c r="J183" s="62" t="s">
        <v>532</v>
      </c>
      <c r="K183" s="62" t="s">
        <v>415</v>
      </c>
      <c r="L183" s="62" t="s">
        <v>83</v>
      </c>
      <c r="M183" s="62" t="s">
        <v>47</v>
      </c>
      <c r="N183" s="5">
        <v>0</v>
      </c>
      <c r="O183" s="8">
        <v>0</v>
      </c>
      <c r="P183" s="69">
        <v>81000</v>
      </c>
      <c r="Q183" s="69">
        <v>159000</v>
      </c>
      <c r="R183" s="69">
        <v>120000</v>
      </c>
      <c r="S183" s="62" t="s">
        <v>305</v>
      </c>
      <c r="T183" s="8">
        <f t="shared" si="5"/>
        <v>39</v>
      </c>
      <c r="U183" s="8">
        <v>1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62" t="s">
        <v>508</v>
      </c>
      <c r="AL183" s="62" t="s">
        <v>50</v>
      </c>
      <c r="AM183" s="62" t="s">
        <v>108</v>
      </c>
      <c r="AN183" s="5"/>
      <c r="AO183" s="7"/>
    </row>
    <row r="184" spans="1:41" ht="15.75" customHeight="1" x14ac:dyDescent="0.25">
      <c r="A184" s="4">
        <v>183</v>
      </c>
      <c r="B184" s="5" t="s">
        <v>610</v>
      </c>
      <c r="C184" s="58">
        <v>3.2</v>
      </c>
      <c r="D184" s="61" t="s">
        <v>611</v>
      </c>
      <c r="E184" s="72" t="s">
        <v>435</v>
      </c>
      <c r="F184" s="62" t="s">
        <v>612</v>
      </c>
      <c r="G184" s="8" t="s">
        <v>70</v>
      </c>
      <c r="H184" s="8">
        <v>2008</v>
      </c>
      <c r="I184" s="62" t="s">
        <v>89</v>
      </c>
      <c r="J184" s="62" t="s">
        <v>613</v>
      </c>
      <c r="K184" s="62" t="s">
        <v>96</v>
      </c>
      <c r="L184" s="62" t="s">
        <v>74</v>
      </c>
      <c r="M184" s="62" t="s">
        <v>614</v>
      </c>
      <c r="N184" s="5">
        <v>0</v>
      </c>
      <c r="O184" s="8">
        <v>0</v>
      </c>
      <c r="P184" s="69">
        <v>83000</v>
      </c>
      <c r="Q184" s="69">
        <v>166000</v>
      </c>
      <c r="R184" s="69">
        <v>124500</v>
      </c>
      <c r="S184" s="62" t="s">
        <v>436</v>
      </c>
      <c r="T184" s="8">
        <f t="shared" si="5"/>
        <v>15</v>
      </c>
      <c r="U184" s="8">
        <v>1</v>
      </c>
      <c r="V184" s="8">
        <v>0</v>
      </c>
      <c r="W184" s="8">
        <v>0</v>
      </c>
      <c r="X184" s="8">
        <v>1</v>
      </c>
      <c r="Y184" s="8">
        <v>1</v>
      </c>
      <c r="Z184" s="8">
        <v>0</v>
      </c>
      <c r="AA184" s="8">
        <v>1</v>
      </c>
      <c r="AB184" s="8">
        <v>0</v>
      </c>
      <c r="AC184" s="8">
        <v>0</v>
      </c>
      <c r="AD184" s="8">
        <v>1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62" t="s">
        <v>49</v>
      </c>
      <c r="AL184" s="62" t="s">
        <v>50</v>
      </c>
      <c r="AM184" s="62" t="s">
        <v>77</v>
      </c>
      <c r="AN184" s="5"/>
      <c r="AO184" s="7"/>
    </row>
    <row r="185" spans="1:41" ht="15.75" customHeight="1" x14ac:dyDescent="0.25">
      <c r="A185" s="4">
        <v>184</v>
      </c>
      <c r="B185" s="5" t="s">
        <v>220</v>
      </c>
      <c r="C185" s="58">
        <v>3.9</v>
      </c>
      <c r="D185" s="61" t="s">
        <v>615</v>
      </c>
      <c r="E185" s="72" t="s">
        <v>616</v>
      </c>
      <c r="F185" s="62" t="s">
        <v>616</v>
      </c>
      <c r="G185" s="8" t="s">
        <v>81</v>
      </c>
      <c r="H185" s="8">
        <v>2009</v>
      </c>
      <c r="I185" s="62" t="s">
        <v>44</v>
      </c>
      <c r="J185" s="62" t="s">
        <v>381</v>
      </c>
      <c r="K185" s="62" t="s">
        <v>96</v>
      </c>
      <c r="L185" s="62" t="s">
        <v>46</v>
      </c>
      <c r="M185" s="62" t="s">
        <v>47</v>
      </c>
      <c r="N185" s="5">
        <v>0</v>
      </c>
      <c r="O185" s="8">
        <v>0</v>
      </c>
      <c r="P185" s="69">
        <v>114000</v>
      </c>
      <c r="Q185" s="69">
        <v>182000</v>
      </c>
      <c r="R185" s="69">
        <v>148000</v>
      </c>
      <c r="S185" s="62" t="s">
        <v>102</v>
      </c>
      <c r="T185" s="8">
        <f t="shared" si="5"/>
        <v>14</v>
      </c>
      <c r="U185" s="8">
        <v>1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62" t="s">
        <v>49</v>
      </c>
      <c r="AL185" s="62" t="s">
        <v>169</v>
      </c>
      <c r="AM185" s="62" t="s">
        <v>51</v>
      </c>
      <c r="AN185" s="5"/>
      <c r="AO185" s="7"/>
    </row>
    <row r="186" spans="1:41" ht="15.75" customHeight="1" x14ac:dyDescent="0.25">
      <c r="A186" s="4">
        <v>185</v>
      </c>
      <c r="B186" s="5" t="s">
        <v>617</v>
      </c>
      <c r="C186" s="58">
        <v>4.7</v>
      </c>
      <c r="D186" s="61" t="s">
        <v>618</v>
      </c>
      <c r="E186" s="72" t="s">
        <v>273</v>
      </c>
      <c r="F186" s="62" t="s">
        <v>364</v>
      </c>
      <c r="G186" s="8" t="s">
        <v>81</v>
      </c>
      <c r="H186" s="8">
        <v>1996</v>
      </c>
      <c r="I186" s="62" t="s">
        <v>44</v>
      </c>
      <c r="J186" s="62" t="s">
        <v>45</v>
      </c>
      <c r="K186" s="62" t="s">
        <v>45</v>
      </c>
      <c r="L186" s="62" t="s">
        <v>101</v>
      </c>
      <c r="M186" s="62" t="s">
        <v>619</v>
      </c>
      <c r="N186" s="5">
        <v>0</v>
      </c>
      <c r="O186" s="8">
        <v>0</v>
      </c>
      <c r="P186" s="69">
        <v>42000</v>
      </c>
      <c r="Q186" s="69">
        <v>76000</v>
      </c>
      <c r="R186" s="69">
        <v>59000</v>
      </c>
      <c r="S186" s="62" t="s">
        <v>274</v>
      </c>
      <c r="T186" s="8">
        <f t="shared" si="5"/>
        <v>27</v>
      </c>
      <c r="U186" s="8">
        <v>1</v>
      </c>
      <c r="V186" s="8">
        <v>0</v>
      </c>
      <c r="W186" s="8">
        <v>0</v>
      </c>
      <c r="X186" s="8">
        <v>1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62" t="s">
        <v>132</v>
      </c>
      <c r="AL186" s="62" t="s">
        <v>50</v>
      </c>
      <c r="AM186" s="62" t="s">
        <v>77</v>
      </c>
      <c r="AN186" s="5"/>
      <c r="AO186" s="7"/>
    </row>
    <row r="187" spans="1:41" ht="15.75" customHeight="1" x14ac:dyDescent="0.25">
      <c r="A187" s="4">
        <v>186</v>
      </c>
      <c r="B187" s="5" t="s">
        <v>620</v>
      </c>
      <c r="C187" s="58">
        <v>3.7</v>
      </c>
      <c r="D187" s="61" t="s">
        <v>192</v>
      </c>
      <c r="E187" s="72" t="s">
        <v>193</v>
      </c>
      <c r="F187" s="62" t="s">
        <v>193</v>
      </c>
      <c r="G187" s="8" t="s">
        <v>120</v>
      </c>
      <c r="H187" s="8">
        <v>1852</v>
      </c>
      <c r="I187" s="62" t="s">
        <v>89</v>
      </c>
      <c r="J187" s="62" t="s">
        <v>161</v>
      </c>
      <c r="K187" s="62" t="s">
        <v>162</v>
      </c>
      <c r="L187" s="62" t="s">
        <v>194</v>
      </c>
      <c r="M187" s="62" t="s">
        <v>47</v>
      </c>
      <c r="N187" s="5">
        <v>0</v>
      </c>
      <c r="O187" s="8">
        <v>0</v>
      </c>
      <c r="P187" s="69">
        <v>114000</v>
      </c>
      <c r="Q187" s="69">
        <v>179000</v>
      </c>
      <c r="R187" s="69">
        <v>146500</v>
      </c>
      <c r="S187" s="62" t="s">
        <v>138</v>
      </c>
      <c r="T187" s="8">
        <f t="shared" si="5"/>
        <v>171</v>
      </c>
      <c r="U187" s="8">
        <v>1</v>
      </c>
      <c r="V187" s="8">
        <v>0</v>
      </c>
      <c r="W187" s="8">
        <v>0</v>
      </c>
      <c r="X187" s="8">
        <v>1</v>
      </c>
      <c r="Y187" s="8">
        <v>1</v>
      </c>
      <c r="Z187" s="8">
        <v>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62" t="s">
        <v>49</v>
      </c>
      <c r="AL187" s="62" t="s">
        <v>169</v>
      </c>
      <c r="AM187" s="62" t="s">
        <v>51</v>
      </c>
      <c r="AN187" s="5"/>
      <c r="AO187" s="7"/>
    </row>
    <row r="188" spans="1:41" ht="15.75" customHeight="1" x14ac:dyDescent="0.25">
      <c r="A188" s="4">
        <v>187</v>
      </c>
      <c r="B188" s="5" t="s">
        <v>621</v>
      </c>
      <c r="C188" s="58">
        <v>2.9</v>
      </c>
      <c r="D188" s="61" t="s">
        <v>622</v>
      </c>
      <c r="E188" s="72" t="s">
        <v>623</v>
      </c>
      <c r="F188" s="62" t="s">
        <v>623</v>
      </c>
      <c r="G188" s="8" t="s">
        <v>88</v>
      </c>
      <c r="H188" s="8" t="s">
        <v>47</v>
      </c>
      <c r="I188" s="62" t="s">
        <v>89</v>
      </c>
      <c r="J188" s="62" t="s">
        <v>136</v>
      </c>
      <c r="K188" s="62" t="s">
        <v>136</v>
      </c>
      <c r="L188" s="62" t="s">
        <v>83</v>
      </c>
      <c r="M188" s="62" t="s">
        <v>47</v>
      </c>
      <c r="N188" s="5">
        <v>0</v>
      </c>
      <c r="O188" s="8">
        <v>0</v>
      </c>
      <c r="P188" s="69">
        <v>60000</v>
      </c>
      <c r="Q188" s="69">
        <v>123000</v>
      </c>
      <c r="R188" s="69">
        <v>91500</v>
      </c>
      <c r="S188" s="62" t="s">
        <v>138</v>
      </c>
      <c r="T188" s="8" t="s">
        <v>47</v>
      </c>
      <c r="U188" s="8">
        <v>0</v>
      </c>
      <c r="V188" s="8">
        <v>0</v>
      </c>
      <c r="W188" s="8">
        <v>0</v>
      </c>
      <c r="X188" s="8">
        <v>1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  <c r="AK188" s="62" t="s">
        <v>107</v>
      </c>
      <c r="AL188" s="62" t="s">
        <v>50</v>
      </c>
      <c r="AM188" s="62" t="s">
        <v>108</v>
      </c>
      <c r="AN188" s="5"/>
      <c r="AO188" s="7"/>
    </row>
    <row r="189" spans="1:41" ht="15.75" customHeight="1" x14ac:dyDescent="0.25">
      <c r="A189" s="4">
        <v>188</v>
      </c>
      <c r="B189" s="5" t="s">
        <v>624</v>
      </c>
      <c r="C189" s="58">
        <v>3</v>
      </c>
      <c r="D189" s="61" t="s">
        <v>625</v>
      </c>
      <c r="E189" s="72" t="s">
        <v>172</v>
      </c>
      <c r="F189" s="62" t="s">
        <v>172</v>
      </c>
      <c r="G189" s="8" t="s">
        <v>43</v>
      </c>
      <c r="H189" s="8">
        <v>2015</v>
      </c>
      <c r="I189" s="62" t="s">
        <v>44</v>
      </c>
      <c r="J189" s="62" t="s">
        <v>136</v>
      </c>
      <c r="K189" s="62" t="s">
        <v>136</v>
      </c>
      <c r="L189" s="62" t="s">
        <v>83</v>
      </c>
      <c r="M189" s="62" t="s">
        <v>47</v>
      </c>
      <c r="N189" s="5">
        <v>0</v>
      </c>
      <c r="O189" s="8">
        <v>0</v>
      </c>
      <c r="P189" s="69">
        <v>100000</v>
      </c>
      <c r="Q189" s="69">
        <v>166000</v>
      </c>
      <c r="R189" s="69">
        <v>133000</v>
      </c>
      <c r="S189" s="62" t="s">
        <v>176</v>
      </c>
      <c r="T189" s="8">
        <f t="shared" ref="T189:T190" si="6">2023-H189</f>
        <v>8</v>
      </c>
      <c r="U189" s="8">
        <v>1</v>
      </c>
      <c r="V189" s="8">
        <v>0</v>
      </c>
      <c r="W189" s="8">
        <v>1</v>
      </c>
      <c r="X189" s="8">
        <v>0</v>
      </c>
      <c r="Y189" s="8">
        <v>1</v>
      </c>
      <c r="Z189" s="8">
        <v>0</v>
      </c>
      <c r="AA189" s="8">
        <v>0</v>
      </c>
      <c r="AB189" s="8">
        <v>1</v>
      </c>
      <c r="AC189" s="8">
        <v>1</v>
      </c>
      <c r="AD189" s="8">
        <v>1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62" t="s">
        <v>508</v>
      </c>
      <c r="AL189" s="62" t="s">
        <v>169</v>
      </c>
      <c r="AM189" s="62" t="s">
        <v>108</v>
      </c>
      <c r="AN189" s="5"/>
      <c r="AO189" s="7"/>
    </row>
    <row r="190" spans="1:41" ht="15.75" customHeight="1" x14ac:dyDescent="0.25">
      <c r="A190" s="4">
        <v>189</v>
      </c>
      <c r="B190" s="5" t="s">
        <v>626</v>
      </c>
      <c r="C190" s="58">
        <v>4.7</v>
      </c>
      <c r="D190" s="61" t="s">
        <v>627</v>
      </c>
      <c r="E190" s="72" t="s">
        <v>628</v>
      </c>
      <c r="F190" s="62" t="s">
        <v>522</v>
      </c>
      <c r="G190" s="8" t="s">
        <v>81</v>
      </c>
      <c r="H190" s="8">
        <v>2013</v>
      </c>
      <c r="I190" s="62" t="s">
        <v>44</v>
      </c>
      <c r="J190" s="62" t="s">
        <v>136</v>
      </c>
      <c r="K190" s="62" t="s">
        <v>136</v>
      </c>
      <c r="L190" s="62" t="s">
        <v>149</v>
      </c>
      <c r="M190" s="62" t="s">
        <v>47</v>
      </c>
      <c r="N190" s="5">
        <v>0</v>
      </c>
      <c r="O190" s="8">
        <v>0</v>
      </c>
      <c r="P190" s="69">
        <v>108000</v>
      </c>
      <c r="Q190" s="69">
        <v>173000</v>
      </c>
      <c r="R190" s="69">
        <v>140500</v>
      </c>
      <c r="S190" s="62" t="s">
        <v>525</v>
      </c>
      <c r="T190" s="8">
        <f t="shared" si="6"/>
        <v>10</v>
      </c>
      <c r="U190" s="8">
        <v>1</v>
      </c>
      <c r="V190" s="8">
        <v>0</v>
      </c>
      <c r="W190" s="8">
        <v>1</v>
      </c>
      <c r="X190" s="8">
        <v>0</v>
      </c>
      <c r="Y190" s="8">
        <v>0</v>
      </c>
      <c r="Z190" s="8">
        <v>0</v>
      </c>
      <c r="AA190" s="8">
        <v>1</v>
      </c>
      <c r="AB190" s="8">
        <v>1</v>
      </c>
      <c r="AC190" s="8">
        <v>1</v>
      </c>
      <c r="AD190" s="8">
        <v>1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  <c r="AK190" s="62" t="s">
        <v>49</v>
      </c>
      <c r="AL190" s="62" t="s">
        <v>169</v>
      </c>
      <c r="AM190" s="62" t="s">
        <v>77</v>
      </c>
      <c r="AN190" s="5"/>
      <c r="AO190" s="7"/>
    </row>
    <row r="191" spans="1:41" ht="15.75" customHeight="1" x14ac:dyDescent="0.25">
      <c r="A191" s="4">
        <v>190</v>
      </c>
      <c r="B191" s="5" t="s">
        <v>224</v>
      </c>
      <c r="C191" s="58">
        <v>3.7</v>
      </c>
      <c r="D191" s="61" t="s">
        <v>629</v>
      </c>
      <c r="E191" s="72" t="s">
        <v>630</v>
      </c>
      <c r="F191" s="62" t="s">
        <v>159</v>
      </c>
      <c r="G191" s="8" t="s">
        <v>43</v>
      </c>
      <c r="H191" s="8" t="s">
        <v>47</v>
      </c>
      <c r="I191" s="62" t="s">
        <v>44</v>
      </c>
      <c r="J191" s="62" t="s">
        <v>216</v>
      </c>
      <c r="K191" s="62" t="s">
        <v>111</v>
      </c>
      <c r="L191" s="62" t="s">
        <v>83</v>
      </c>
      <c r="M191" s="62" t="s">
        <v>47</v>
      </c>
      <c r="N191" s="5">
        <v>0</v>
      </c>
      <c r="O191" s="8">
        <v>0</v>
      </c>
      <c r="P191" s="69">
        <v>48000</v>
      </c>
      <c r="Q191" s="69">
        <v>93000</v>
      </c>
      <c r="R191" s="69">
        <v>70500</v>
      </c>
      <c r="S191" s="62" t="s">
        <v>375</v>
      </c>
      <c r="T191" s="8" t="s">
        <v>47</v>
      </c>
      <c r="U191" s="8">
        <v>0</v>
      </c>
      <c r="V191" s="8">
        <v>0</v>
      </c>
      <c r="W191" s="8">
        <v>0</v>
      </c>
      <c r="X191" s="8">
        <v>1</v>
      </c>
      <c r="Y191" s="8">
        <v>1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62" t="s">
        <v>146</v>
      </c>
      <c r="AL191" s="62" t="s">
        <v>50</v>
      </c>
      <c r="AM191" s="62" t="s">
        <v>77</v>
      </c>
      <c r="AN191" s="5"/>
      <c r="AO191" s="7"/>
    </row>
    <row r="192" spans="1:41" ht="15.75" customHeight="1" x14ac:dyDescent="0.25">
      <c r="A192" s="4">
        <v>191</v>
      </c>
      <c r="B192" s="5" t="s">
        <v>631</v>
      </c>
      <c r="C192" s="58">
        <v>3.3</v>
      </c>
      <c r="D192" s="61" t="s">
        <v>104</v>
      </c>
      <c r="E192" s="72" t="s">
        <v>105</v>
      </c>
      <c r="F192" s="62" t="s">
        <v>105</v>
      </c>
      <c r="G192" s="8" t="s">
        <v>56</v>
      </c>
      <c r="H192" s="8">
        <v>2014</v>
      </c>
      <c r="I192" s="62" t="s">
        <v>106</v>
      </c>
      <c r="J192" s="62" t="s">
        <v>58</v>
      </c>
      <c r="K192" s="62" t="s">
        <v>59</v>
      </c>
      <c r="L192" s="62" t="s">
        <v>74</v>
      </c>
      <c r="M192" s="62" t="s">
        <v>47</v>
      </c>
      <c r="N192" s="5">
        <v>0</v>
      </c>
      <c r="O192" s="8">
        <v>0</v>
      </c>
      <c r="P192" s="69">
        <v>54000</v>
      </c>
      <c r="Q192" s="69">
        <v>115000</v>
      </c>
      <c r="R192" s="69">
        <v>84500</v>
      </c>
      <c r="S192" s="62" t="s">
        <v>85</v>
      </c>
      <c r="T192" s="8">
        <f t="shared" ref="T192:T199" si="7">2023-H192</f>
        <v>9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62" t="s">
        <v>107</v>
      </c>
      <c r="AL192" s="62" t="s">
        <v>169</v>
      </c>
      <c r="AM192" s="62" t="s">
        <v>108</v>
      </c>
      <c r="AN192" s="5"/>
      <c r="AO192" s="7"/>
    </row>
    <row r="193" spans="1:41" ht="15.75" customHeight="1" x14ac:dyDescent="0.25">
      <c r="A193" s="4">
        <v>192</v>
      </c>
      <c r="B193" s="5" t="s">
        <v>632</v>
      </c>
      <c r="C193" s="58">
        <v>4</v>
      </c>
      <c r="D193" s="61" t="s">
        <v>633</v>
      </c>
      <c r="E193" s="72" t="s">
        <v>634</v>
      </c>
      <c r="F193" s="62" t="s">
        <v>635</v>
      </c>
      <c r="G193" s="8" t="s">
        <v>81</v>
      </c>
      <c r="H193" s="8">
        <v>2002</v>
      </c>
      <c r="I193" s="62" t="s">
        <v>44</v>
      </c>
      <c r="J193" s="62" t="s">
        <v>216</v>
      </c>
      <c r="K193" s="62" t="s">
        <v>111</v>
      </c>
      <c r="L193" s="62" t="s">
        <v>318</v>
      </c>
      <c r="M193" s="62" t="s">
        <v>47</v>
      </c>
      <c r="N193" s="5">
        <v>0</v>
      </c>
      <c r="O193" s="8">
        <v>0</v>
      </c>
      <c r="P193" s="69">
        <v>60000</v>
      </c>
      <c r="Q193" s="69">
        <v>127000</v>
      </c>
      <c r="R193" s="69">
        <v>93500</v>
      </c>
      <c r="S193" s="62" t="s">
        <v>61</v>
      </c>
      <c r="T193" s="8">
        <f t="shared" si="7"/>
        <v>21</v>
      </c>
      <c r="U193" s="8">
        <v>0</v>
      </c>
      <c r="V193" s="8">
        <v>0</v>
      </c>
      <c r="W193" s="8">
        <v>0</v>
      </c>
      <c r="X193" s="8">
        <v>1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62" t="s">
        <v>107</v>
      </c>
      <c r="AL193" s="62" t="s">
        <v>50</v>
      </c>
      <c r="AM193" s="62" t="s">
        <v>51</v>
      </c>
      <c r="AN193" s="5"/>
      <c r="AO193" s="7"/>
    </row>
    <row r="194" spans="1:41" ht="15.75" customHeight="1" x14ac:dyDescent="0.25">
      <c r="A194" s="4">
        <v>193</v>
      </c>
      <c r="B194" s="5" t="s">
        <v>636</v>
      </c>
      <c r="C194" s="58">
        <v>4.4000000000000004</v>
      </c>
      <c r="D194" s="61" t="s">
        <v>579</v>
      </c>
      <c r="E194" s="72" t="s">
        <v>134</v>
      </c>
      <c r="F194" s="62" t="s">
        <v>134</v>
      </c>
      <c r="G194" s="8" t="s">
        <v>88</v>
      </c>
      <c r="H194" s="8">
        <v>2013</v>
      </c>
      <c r="I194" s="62" t="s">
        <v>89</v>
      </c>
      <c r="J194" s="62" t="s">
        <v>136</v>
      </c>
      <c r="K194" s="62" t="s">
        <v>136</v>
      </c>
      <c r="L194" s="62" t="s">
        <v>66</v>
      </c>
      <c r="M194" s="62" t="s">
        <v>47</v>
      </c>
      <c r="N194" s="5">
        <v>0</v>
      </c>
      <c r="O194" s="8">
        <v>0</v>
      </c>
      <c r="P194" s="69">
        <v>90000</v>
      </c>
      <c r="Q194" s="69">
        <v>179000</v>
      </c>
      <c r="R194" s="69">
        <v>134500</v>
      </c>
      <c r="S194" s="62" t="s">
        <v>138</v>
      </c>
      <c r="T194" s="8">
        <f t="shared" si="7"/>
        <v>10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  <c r="AK194" s="62" t="s">
        <v>107</v>
      </c>
      <c r="AL194" s="62" t="s">
        <v>169</v>
      </c>
      <c r="AM194" s="62" t="s">
        <v>108</v>
      </c>
      <c r="AN194" s="5"/>
      <c r="AO194" s="7"/>
    </row>
    <row r="195" spans="1:41" ht="15.75" customHeight="1" x14ac:dyDescent="0.25">
      <c r="A195" s="4">
        <v>194</v>
      </c>
      <c r="B195" s="5" t="s">
        <v>637</v>
      </c>
      <c r="C195" s="58">
        <v>3.9</v>
      </c>
      <c r="D195" s="61" t="s">
        <v>638</v>
      </c>
      <c r="E195" s="72" t="s">
        <v>98</v>
      </c>
      <c r="F195" s="62" t="s">
        <v>114</v>
      </c>
      <c r="G195" s="8" t="s">
        <v>88</v>
      </c>
      <c r="H195" s="8">
        <v>2007</v>
      </c>
      <c r="I195" s="62" t="s">
        <v>44</v>
      </c>
      <c r="J195" s="62" t="s">
        <v>110</v>
      </c>
      <c r="K195" s="62" t="s">
        <v>111</v>
      </c>
      <c r="L195" s="62" t="s">
        <v>180</v>
      </c>
      <c r="M195" s="62" t="s">
        <v>639</v>
      </c>
      <c r="N195" s="5">
        <v>0</v>
      </c>
      <c r="O195" s="8">
        <v>0</v>
      </c>
      <c r="P195" s="69">
        <v>138000</v>
      </c>
      <c r="Q195" s="69">
        <v>224000</v>
      </c>
      <c r="R195" s="69">
        <v>181000</v>
      </c>
      <c r="S195" s="62" t="s">
        <v>102</v>
      </c>
      <c r="T195" s="8">
        <f t="shared" si="7"/>
        <v>16</v>
      </c>
      <c r="U195" s="8">
        <v>1</v>
      </c>
      <c r="V195" s="8">
        <v>1</v>
      </c>
      <c r="W195" s="8">
        <v>0</v>
      </c>
      <c r="X195" s="8">
        <v>0</v>
      </c>
      <c r="Y195" s="8">
        <v>1</v>
      </c>
      <c r="Z195" s="8">
        <v>0</v>
      </c>
      <c r="AA195" s="8">
        <v>0</v>
      </c>
      <c r="AB195" s="8">
        <v>0</v>
      </c>
      <c r="AC195" s="8">
        <v>1</v>
      </c>
      <c r="AD195" s="8">
        <v>1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62" t="s">
        <v>508</v>
      </c>
      <c r="AL195" s="62" t="s">
        <v>50</v>
      </c>
      <c r="AM195" s="62" t="s">
        <v>77</v>
      </c>
      <c r="AN195" s="5"/>
      <c r="AO195" s="7"/>
    </row>
    <row r="196" spans="1:41" ht="15.75" customHeight="1" x14ac:dyDescent="0.25">
      <c r="A196" s="4">
        <v>195</v>
      </c>
      <c r="B196" s="5" t="s">
        <v>640</v>
      </c>
      <c r="C196" s="58">
        <v>3.3</v>
      </c>
      <c r="D196" s="61" t="s">
        <v>104</v>
      </c>
      <c r="E196" s="72" t="s">
        <v>105</v>
      </c>
      <c r="F196" s="62" t="s">
        <v>105</v>
      </c>
      <c r="G196" s="8" t="s">
        <v>56</v>
      </c>
      <c r="H196" s="8">
        <v>2014</v>
      </c>
      <c r="I196" s="62" t="s">
        <v>106</v>
      </c>
      <c r="J196" s="62" t="s">
        <v>58</v>
      </c>
      <c r="K196" s="62" t="s">
        <v>59</v>
      </c>
      <c r="L196" s="62" t="s">
        <v>74</v>
      </c>
      <c r="M196" s="62" t="s">
        <v>47</v>
      </c>
      <c r="N196" s="5">
        <v>0</v>
      </c>
      <c r="O196" s="8">
        <v>0</v>
      </c>
      <c r="P196" s="69">
        <v>54000</v>
      </c>
      <c r="Q196" s="69">
        <v>115000</v>
      </c>
      <c r="R196" s="69">
        <v>84500</v>
      </c>
      <c r="S196" s="62" t="s">
        <v>85</v>
      </c>
      <c r="T196" s="8">
        <f t="shared" si="7"/>
        <v>9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62" t="s">
        <v>107</v>
      </c>
      <c r="AL196" s="62" t="s">
        <v>169</v>
      </c>
      <c r="AM196" s="62" t="s">
        <v>108</v>
      </c>
      <c r="AN196" s="5"/>
      <c r="AO196" s="7"/>
    </row>
    <row r="197" spans="1:41" ht="15.75" customHeight="1" x14ac:dyDescent="0.25">
      <c r="A197" s="4">
        <v>196</v>
      </c>
      <c r="B197" s="5" t="s">
        <v>641</v>
      </c>
      <c r="C197" s="58">
        <v>4.0999999999999996</v>
      </c>
      <c r="D197" s="61" t="s">
        <v>642</v>
      </c>
      <c r="E197" s="72" t="s">
        <v>153</v>
      </c>
      <c r="F197" s="62" t="s">
        <v>154</v>
      </c>
      <c r="G197" s="8" t="s">
        <v>81</v>
      </c>
      <c r="H197" s="8">
        <v>2010</v>
      </c>
      <c r="I197" s="62" t="s">
        <v>44</v>
      </c>
      <c r="J197" s="62" t="s">
        <v>110</v>
      </c>
      <c r="K197" s="62" t="s">
        <v>111</v>
      </c>
      <c r="L197" s="62" t="s">
        <v>46</v>
      </c>
      <c r="M197" s="62" t="s">
        <v>643</v>
      </c>
      <c r="N197" s="5">
        <v>0</v>
      </c>
      <c r="O197" s="8">
        <v>0</v>
      </c>
      <c r="P197" s="69">
        <v>190000</v>
      </c>
      <c r="Q197" s="69">
        <v>220000</v>
      </c>
      <c r="R197" s="69">
        <v>205000</v>
      </c>
      <c r="S197" s="62" t="s">
        <v>102</v>
      </c>
      <c r="T197" s="8">
        <f t="shared" si="7"/>
        <v>13</v>
      </c>
      <c r="U197" s="8">
        <v>1</v>
      </c>
      <c r="V197" s="8">
        <v>1</v>
      </c>
      <c r="W197" s="8">
        <v>1</v>
      </c>
      <c r="X197" s="8">
        <v>0</v>
      </c>
      <c r="Y197" s="8">
        <v>1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62" t="s">
        <v>146</v>
      </c>
      <c r="AL197" s="62" t="s">
        <v>169</v>
      </c>
      <c r="AM197" s="62" t="s">
        <v>77</v>
      </c>
      <c r="AN197" s="5"/>
      <c r="AO197" s="7"/>
    </row>
    <row r="198" spans="1:41" ht="15.75" customHeight="1" x14ac:dyDescent="0.25">
      <c r="A198" s="4">
        <v>197</v>
      </c>
      <c r="B198" s="5" t="s">
        <v>644</v>
      </c>
      <c r="C198" s="58">
        <v>3.6</v>
      </c>
      <c r="D198" s="61" t="s">
        <v>645</v>
      </c>
      <c r="E198" s="72" t="s">
        <v>646</v>
      </c>
      <c r="F198" s="62" t="s">
        <v>646</v>
      </c>
      <c r="G198" s="8" t="s">
        <v>70</v>
      </c>
      <c r="H198" s="8">
        <v>1986</v>
      </c>
      <c r="I198" s="62" t="s">
        <v>44</v>
      </c>
      <c r="J198" s="62" t="s">
        <v>647</v>
      </c>
      <c r="K198" s="62" t="s">
        <v>648</v>
      </c>
      <c r="L198" s="62" t="s">
        <v>66</v>
      </c>
      <c r="M198" s="62" t="s">
        <v>47</v>
      </c>
      <c r="N198" s="5">
        <v>0</v>
      </c>
      <c r="O198" s="8">
        <v>0</v>
      </c>
      <c r="P198" s="69">
        <v>35000</v>
      </c>
      <c r="Q198" s="69">
        <v>62000</v>
      </c>
      <c r="R198" s="69">
        <v>48500</v>
      </c>
      <c r="S198" s="62" t="s">
        <v>102</v>
      </c>
      <c r="T198" s="8">
        <f t="shared" si="7"/>
        <v>37</v>
      </c>
      <c r="U198" s="8">
        <v>0</v>
      </c>
      <c r="V198" s="8">
        <v>0</v>
      </c>
      <c r="W198" s="8">
        <v>0</v>
      </c>
      <c r="X198" s="8">
        <v>1</v>
      </c>
      <c r="Y198" s="8">
        <v>1</v>
      </c>
      <c r="Z198" s="8">
        <v>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1</v>
      </c>
      <c r="AG198" s="8">
        <v>0</v>
      </c>
      <c r="AH198" s="8">
        <v>0</v>
      </c>
      <c r="AI198" s="8">
        <v>0</v>
      </c>
      <c r="AJ198" s="8">
        <v>1</v>
      </c>
      <c r="AK198" s="62" t="s">
        <v>132</v>
      </c>
      <c r="AL198" s="62" t="s">
        <v>50</v>
      </c>
      <c r="AM198" s="62" t="s">
        <v>51</v>
      </c>
      <c r="AN198" s="5"/>
      <c r="AO198" s="7"/>
    </row>
    <row r="199" spans="1:41" ht="15.75" customHeight="1" x14ac:dyDescent="0.25">
      <c r="A199" s="4">
        <v>198</v>
      </c>
      <c r="B199" s="5" t="s">
        <v>649</v>
      </c>
      <c r="C199" s="58">
        <v>4</v>
      </c>
      <c r="D199" s="61" t="s">
        <v>650</v>
      </c>
      <c r="E199" s="72" t="s">
        <v>651</v>
      </c>
      <c r="F199" s="62" t="s">
        <v>652</v>
      </c>
      <c r="G199" s="8" t="s">
        <v>70</v>
      </c>
      <c r="H199" s="8">
        <v>1977</v>
      </c>
      <c r="I199" s="62" t="s">
        <v>106</v>
      </c>
      <c r="J199" s="62" t="s">
        <v>58</v>
      </c>
      <c r="K199" s="62" t="s">
        <v>59</v>
      </c>
      <c r="L199" s="62" t="s">
        <v>46</v>
      </c>
      <c r="M199" s="62" t="s">
        <v>47</v>
      </c>
      <c r="N199" s="5">
        <v>1</v>
      </c>
      <c r="O199" s="8">
        <v>0</v>
      </c>
      <c r="P199" s="69">
        <v>37000</v>
      </c>
      <c r="Q199" s="69">
        <v>52000</v>
      </c>
      <c r="R199" s="69">
        <v>44500</v>
      </c>
      <c r="S199" s="62" t="s">
        <v>93</v>
      </c>
      <c r="T199" s="8">
        <f t="shared" si="7"/>
        <v>46</v>
      </c>
      <c r="U199" s="8">
        <v>0</v>
      </c>
      <c r="V199" s="8">
        <v>0</v>
      </c>
      <c r="W199" s="8">
        <v>1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62" t="s">
        <v>107</v>
      </c>
      <c r="AL199" s="62" t="s">
        <v>50</v>
      </c>
      <c r="AM199" s="62" t="s">
        <v>77</v>
      </c>
      <c r="AN199" s="5"/>
      <c r="AO199" s="7"/>
    </row>
    <row r="200" spans="1:41" ht="15.75" customHeight="1" x14ac:dyDescent="0.25">
      <c r="A200" s="4">
        <v>199</v>
      </c>
      <c r="B200" s="5" t="s">
        <v>653</v>
      </c>
      <c r="C200" s="58">
        <v>2.4</v>
      </c>
      <c r="D200" s="61" t="s">
        <v>654</v>
      </c>
      <c r="E200" s="72" t="s">
        <v>655</v>
      </c>
      <c r="F200" s="62" t="s">
        <v>656</v>
      </c>
      <c r="G200" s="8" t="s">
        <v>43</v>
      </c>
      <c r="H200" s="8" t="s">
        <v>47</v>
      </c>
      <c r="I200" s="62" t="s">
        <v>44</v>
      </c>
      <c r="J200" s="62" t="s">
        <v>657</v>
      </c>
      <c r="K200" s="62" t="s">
        <v>427</v>
      </c>
      <c r="L200" s="62" t="s">
        <v>66</v>
      </c>
      <c r="M200" s="62" t="s">
        <v>47</v>
      </c>
      <c r="N200" s="5">
        <v>0</v>
      </c>
      <c r="O200" s="8">
        <v>0</v>
      </c>
      <c r="P200" s="69">
        <v>39000</v>
      </c>
      <c r="Q200" s="69">
        <v>66000</v>
      </c>
      <c r="R200" s="69">
        <v>52500</v>
      </c>
      <c r="S200" s="62" t="s">
        <v>176</v>
      </c>
      <c r="T200" s="8" t="s">
        <v>47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62" t="s">
        <v>107</v>
      </c>
      <c r="AL200" s="62" t="s">
        <v>50</v>
      </c>
      <c r="AM200" s="62" t="s">
        <v>77</v>
      </c>
      <c r="AN200" s="5"/>
      <c r="AO200" s="7"/>
    </row>
    <row r="201" spans="1:41" ht="15.75" customHeight="1" x14ac:dyDescent="0.25">
      <c r="A201" s="4">
        <v>200</v>
      </c>
      <c r="B201" s="5" t="s">
        <v>658</v>
      </c>
      <c r="C201" s="58">
        <v>2.6</v>
      </c>
      <c r="D201" s="61" t="s">
        <v>530</v>
      </c>
      <c r="E201" s="72" t="s">
        <v>342</v>
      </c>
      <c r="F201" s="62" t="s">
        <v>342</v>
      </c>
      <c r="G201" s="8" t="s">
        <v>43</v>
      </c>
      <c r="H201" s="8">
        <v>1984</v>
      </c>
      <c r="I201" s="62" t="s">
        <v>531</v>
      </c>
      <c r="J201" s="62" t="s">
        <v>532</v>
      </c>
      <c r="K201" s="62" t="s">
        <v>415</v>
      </c>
      <c r="L201" s="62" t="s">
        <v>83</v>
      </c>
      <c r="M201" s="62" t="s">
        <v>47</v>
      </c>
      <c r="N201" s="5">
        <v>0</v>
      </c>
      <c r="O201" s="8">
        <v>0</v>
      </c>
      <c r="P201" s="69">
        <v>81000</v>
      </c>
      <c r="Q201" s="69">
        <v>167000</v>
      </c>
      <c r="R201" s="69">
        <v>124000</v>
      </c>
      <c r="S201" s="62" t="s">
        <v>305</v>
      </c>
      <c r="T201" s="8">
        <f t="shared" ref="T201:T223" si="8">2023-H201</f>
        <v>39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62" t="s">
        <v>508</v>
      </c>
      <c r="AL201" s="62" t="s">
        <v>169</v>
      </c>
      <c r="AM201" s="62" t="s">
        <v>108</v>
      </c>
      <c r="AN201" s="5"/>
      <c r="AO201" s="7"/>
    </row>
    <row r="202" spans="1:41" ht="15.75" customHeight="1" x14ac:dyDescent="0.25">
      <c r="A202" s="4">
        <v>201</v>
      </c>
      <c r="B202" s="5" t="s">
        <v>659</v>
      </c>
      <c r="C202" s="58">
        <v>3.5</v>
      </c>
      <c r="D202" s="61" t="s">
        <v>660</v>
      </c>
      <c r="E202" s="72" t="s">
        <v>661</v>
      </c>
      <c r="F202" s="62" t="s">
        <v>662</v>
      </c>
      <c r="G202" s="8" t="s">
        <v>43</v>
      </c>
      <c r="H202" s="8">
        <v>1996</v>
      </c>
      <c r="I202" s="62" t="s">
        <v>160</v>
      </c>
      <c r="J202" s="62" t="s">
        <v>58</v>
      </c>
      <c r="K202" s="62" t="s">
        <v>59</v>
      </c>
      <c r="L202" s="62" t="s">
        <v>74</v>
      </c>
      <c r="M202" s="62" t="s">
        <v>47</v>
      </c>
      <c r="N202" s="5">
        <v>0</v>
      </c>
      <c r="O202" s="8">
        <v>0</v>
      </c>
      <c r="P202" s="69">
        <v>42000</v>
      </c>
      <c r="Q202" s="69">
        <v>86000</v>
      </c>
      <c r="R202" s="69">
        <v>64000</v>
      </c>
      <c r="S202" s="62" t="s">
        <v>102</v>
      </c>
      <c r="T202" s="8">
        <f t="shared" si="8"/>
        <v>27</v>
      </c>
      <c r="U202" s="8">
        <v>0</v>
      </c>
      <c r="V202" s="8">
        <v>0</v>
      </c>
      <c r="W202" s="8">
        <v>0</v>
      </c>
      <c r="X202" s="8">
        <v>0</v>
      </c>
      <c r="Y202" s="8">
        <v>1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1</v>
      </c>
      <c r="AG202" s="8">
        <v>0</v>
      </c>
      <c r="AH202" s="8">
        <v>0</v>
      </c>
      <c r="AI202" s="8">
        <v>0</v>
      </c>
      <c r="AJ202" s="8">
        <v>0</v>
      </c>
      <c r="AK202" s="62" t="s">
        <v>486</v>
      </c>
      <c r="AL202" s="62" t="s">
        <v>50</v>
      </c>
      <c r="AM202" s="62" t="s">
        <v>77</v>
      </c>
      <c r="AN202" s="5"/>
      <c r="AO202" s="7"/>
    </row>
    <row r="203" spans="1:41" ht="15.75" customHeight="1" x14ac:dyDescent="0.25">
      <c r="A203" s="4">
        <v>202</v>
      </c>
      <c r="B203" s="5" t="s">
        <v>663</v>
      </c>
      <c r="C203" s="58">
        <v>3</v>
      </c>
      <c r="D203" s="61" t="s">
        <v>664</v>
      </c>
      <c r="E203" s="72" t="s">
        <v>665</v>
      </c>
      <c r="F203" s="62" t="s">
        <v>665</v>
      </c>
      <c r="G203" s="8" t="s">
        <v>56</v>
      </c>
      <c r="H203" s="8">
        <v>1958</v>
      </c>
      <c r="I203" s="62" t="s">
        <v>44</v>
      </c>
      <c r="J203" s="62" t="s">
        <v>666</v>
      </c>
      <c r="K203" s="62" t="s">
        <v>116</v>
      </c>
      <c r="L203" s="62" t="s">
        <v>128</v>
      </c>
      <c r="M203" s="62" t="s">
        <v>667</v>
      </c>
      <c r="N203" s="5">
        <v>0</v>
      </c>
      <c r="O203" s="8">
        <v>0</v>
      </c>
      <c r="P203" s="69">
        <v>69000</v>
      </c>
      <c r="Q203" s="69">
        <v>127000</v>
      </c>
      <c r="R203" s="69">
        <v>98000</v>
      </c>
      <c r="S203" s="62" t="s">
        <v>542</v>
      </c>
      <c r="T203" s="8">
        <f t="shared" si="8"/>
        <v>65</v>
      </c>
      <c r="U203" s="8">
        <v>1</v>
      </c>
      <c r="V203" s="8">
        <v>0</v>
      </c>
      <c r="W203" s="8">
        <v>0</v>
      </c>
      <c r="X203" s="8">
        <v>0</v>
      </c>
      <c r="Y203" s="8">
        <v>1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62" t="s">
        <v>146</v>
      </c>
      <c r="AL203" s="62" t="s">
        <v>169</v>
      </c>
      <c r="AM203" s="62" t="s">
        <v>51</v>
      </c>
      <c r="AN203" s="5"/>
      <c r="AO203" s="7"/>
    </row>
    <row r="204" spans="1:41" ht="15.75" customHeight="1" x14ac:dyDescent="0.25">
      <c r="A204" s="4">
        <v>203</v>
      </c>
      <c r="B204" s="5" t="s">
        <v>668</v>
      </c>
      <c r="C204" s="58">
        <v>3.6</v>
      </c>
      <c r="D204" s="61" t="s">
        <v>599</v>
      </c>
      <c r="E204" s="72" t="s">
        <v>669</v>
      </c>
      <c r="F204" s="62" t="s">
        <v>600</v>
      </c>
      <c r="G204" s="8" t="s">
        <v>70</v>
      </c>
      <c r="H204" s="8">
        <v>1935</v>
      </c>
      <c r="I204" s="62" t="s">
        <v>160</v>
      </c>
      <c r="J204" s="62" t="s">
        <v>58</v>
      </c>
      <c r="K204" s="62" t="s">
        <v>59</v>
      </c>
      <c r="L204" s="62" t="s">
        <v>66</v>
      </c>
      <c r="M204" s="62" t="s">
        <v>47</v>
      </c>
      <c r="N204" s="5">
        <v>1</v>
      </c>
      <c r="O204" s="8">
        <v>0</v>
      </c>
      <c r="P204" s="69">
        <v>43000</v>
      </c>
      <c r="Q204" s="69">
        <v>70000</v>
      </c>
      <c r="R204" s="69">
        <v>56500</v>
      </c>
      <c r="S204" s="62" t="s">
        <v>601</v>
      </c>
      <c r="T204" s="8">
        <f t="shared" si="8"/>
        <v>88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62" t="s">
        <v>107</v>
      </c>
      <c r="AL204" s="62" t="s">
        <v>50</v>
      </c>
      <c r="AM204" s="62" t="s">
        <v>77</v>
      </c>
      <c r="AN204" s="5"/>
      <c r="AO204" s="7"/>
    </row>
    <row r="205" spans="1:41" ht="15.75" customHeight="1" x14ac:dyDescent="0.25">
      <c r="A205" s="4">
        <v>204</v>
      </c>
      <c r="B205" s="5" t="s">
        <v>670</v>
      </c>
      <c r="C205" s="58">
        <v>3.3</v>
      </c>
      <c r="D205" s="61" t="s">
        <v>671</v>
      </c>
      <c r="E205" s="72" t="s">
        <v>401</v>
      </c>
      <c r="F205" s="62" t="s">
        <v>401</v>
      </c>
      <c r="G205" s="8" t="s">
        <v>43</v>
      </c>
      <c r="H205" s="8">
        <v>1964</v>
      </c>
      <c r="I205" s="62" t="s">
        <v>44</v>
      </c>
      <c r="J205" s="62" t="s">
        <v>657</v>
      </c>
      <c r="K205" s="62" t="s">
        <v>427</v>
      </c>
      <c r="L205" s="62" t="s">
        <v>83</v>
      </c>
      <c r="M205" s="62" t="s">
        <v>47</v>
      </c>
      <c r="N205" s="5">
        <v>0</v>
      </c>
      <c r="O205" s="8">
        <v>0</v>
      </c>
      <c r="P205" s="69">
        <v>40000</v>
      </c>
      <c r="Q205" s="69">
        <v>68000</v>
      </c>
      <c r="R205" s="69">
        <v>54000</v>
      </c>
      <c r="S205" s="62" t="s">
        <v>403</v>
      </c>
      <c r="T205" s="8">
        <f t="shared" si="8"/>
        <v>59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62" t="s">
        <v>107</v>
      </c>
      <c r="AL205" s="62" t="s">
        <v>50</v>
      </c>
      <c r="AM205" s="62" t="s">
        <v>77</v>
      </c>
      <c r="AN205" s="5"/>
      <c r="AO205" s="7"/>
    </row>
    <row r="206" spans="1:41" ht="15.75" customHeight="1" x14ac:dyDescent="0.25">
      <c r="A206" s="4">
        <v>205</v>
      </c>
      <c r="B206" s="5" t="s">
        <v>672</v>
      </c>
      <c r="C206" s="58">
        <v>2.7</v>
      </c>
      <c r="D206" s="61" t="s">
        <v>673</v>
      </c>
      <c r="E206" s="72" t="s">
        <v>454</v>
      </c>
      <c r="F206" s="62" t="s">
        <v>454</v>
      </c>
      <c r="G206" s="8" t="s">
        <v>88</v>
      </c>
      <c r="H206" s="8">
        <v>1961</v>
      </c>
      <c r="I206" s="62" t="s">
        <v>44</v>
      </c>
      <c r="J206" s="62" t="s">
        <v>136</v>
      </c>
      <c r="K206" s="62" t="s">
        <v>136</v>
      </c>
      <c r="L206" s="62" t="s">
        <v>101</v>
      </c>
      <c r="M206" s="62" t="s">
        <v>47</v>
      </c>
      <c r="N206" s="5">
        <v>0</v>
      </c>
      <c r="O206" s="8">
        <v>0</v>
      </c>
      <c r="P206" s="69">
        <v>49000</v>
      </c>
      <c r="Q206" s="69">
        <v>113000</v>
      </c>
      <c r="R206" s="69">
        <v>81000</v>
      </c>
      <c r="S206" s="62" t="s">
        <v>61</v>
      </c>
      <c r="T206" s="8">
        <f t="shared" si="8"/>
        <v>62</v>
      </c>
      <c r="U206" s="8">
        <v>0</v>
      </c>
      <c r="V206" s="8">
        <v>0</v>
      </c>
      <c r="W206" s="8">
        <v>0</v>
      </c>
      <c r="X206" s="8">
        <v>1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62" t="s">
        <v>107</v>
      </c>
      <c r="AL206" s="62" t="s">
        <v>50</v>
      </c>
      <c r="AM206" s="62" t="s">
        <v>108</v>
      </c>
      <c r="AN206" s="5"/>
      <c r="AO206" s="7"/>
    </row>
    <row r="207" spans="1:41" ht="15.75" customHeight="1" x14ac:dyDescent="0.25">
      <c r="A207" s="4">
        <v>206</v>
      </c>
      <c r="B207" s="5" t="s">
        <v>674</v>
      </c>
      <c r="C207" s="58">
        <v>3.4</v>
      </c>
      <c r="D207" s="61" t="s">
        <v>675</v>
      </c>
      <c r="E207" s="72" t="s">
        <v>172</v>
      </c>
      <c r="F207" s="62" t="s">
        <v>172</v>
      </c>
      <c r="G207" s="8" t="s">
        <v>70</v>
      </c>
      <c r="H207" s="8">
        <v>2005</v>
      </c>
      <c r="I207" s="62" t="s">
        <v>89</v>
      </c>
      <c r="J207" s="62" t="s">
        <v>676</v>
      </c>
      <c r="K207" s="62" t="s">
        <v>175</v>
      </c>
      <c r="L207" s="62" t="s">
        <v>60</v>
      </c>
      <c r="M207" s="62" t="s">
        <v>677</v>
      </c>
      <c r="N207" s="5">
        <v>0</v>
      </c>
      <c r="O207" s="8">
        <v>0</v>
      </c>
      <c r="P207" s="69">
        <v>75000</v>
      </c>
      <c r="Q207" s="69">
        <v>140000</v>
      </c>
      <c r="R207" s="69">
        <v>107500</v>
      </c>
      <c r="S207" s="62" t="s">
        <v>176</v>
      </c>
      <c r="T207" s="8">
        <f t="shared" si="8"/>
        <v>18</v>
      </c>
      <c r="U207" s="8">
        <v>0</v>
      </c>
      <c r="V207" s="8">
        <v>0</v>
      </c>
      <c r="W207" s="8">
        <v>0</v>
      </c>
      <c r="X207" s="8">
        <v>0</v>
      </c>
      <c r="Y207" s="8">
        <v>1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62" t="s">
        <v>146</v>
      </c>
      <c r="AL207" s="62" t="s">
        <v>169</v>
      </c>
      <c r="AM207" s="62" t="s">
        <v>77</v>
      </c>
      <c r="AN207" s="5"/>
      <c r="AO207" s="7"/>
    </row>
    <row r="208" spans="1:41" ht="15.75" customHeight="1" x14ac:dyDescent="0.25">
      <c r="A208" s="4">
        <v>207</v>
      </c>
      <c r="B208" s="5" t="s">
        <v>170</v>
      </c>
      <c r="C208" s="58">
        <v>3.8</v>
      </c>
      <c r="D208" s="61" t="s">
        <v>171</v>
      </c>
      <c r="E208" s="72" t="s">
        <v>172</v>
      </c>
      <c r="F208" s="62" t="s">
        <v>173</v>
      </c>
      <c r="G208" s="8" t="s">
        <v>43</v>
      </c>
      <c r="H208" s="8">
        <v>1995</v>
      </c>
      <c r="I208" s="62" t="s">
        <v>44</v>
      </c>
      <c r="J208" s="62" t="s">
        <v>174</v>
      </c>
      <c r="K208" s="62" t="s">
        <v>175</v>
      </c>
      <c r="L208" s="62" t="s">
        <v>83</v>
      </c>
      <c r="M208" s="62" t="s">
        <v>47</v>
      </c>
      <c r="N208" s="5">
        <v>0</v>
      </c>
      <c r="O208" s="8">
        <v>0</v>
      </c>
      <c r="P208" s="69">
        <v>86000</v>
      </c>
      <c r="Q208" s="69">
        <v>139000</v>
      </c>
      <c r="R208" s="69">
        <v>112500</v>
      </c>
      <c r="S208" s="62" t="s">
        <v>176</v>
      </c>
      <c r="T208" s="8">
        <f t="shared" si="8"/>
        <v>28</v>
      </c>
      <c r="U208" s="8">
        <v>1</v>
      </c>
      <c r="V208" s="8">
        <v>0</v>
      </c>
      <c r="W208" s="8">
        <v>1</v>
      </c>
      <c r="X208" s="8">
        <v>1</v>
      </c>
      <c r="Y208" s="8">
        <v>1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1</v>
      </c>
      <c r="AJ208" s="8">
        <v>0</v>
      </c>
      <c r="AK208" s="62" t="s">
        <v>49</v>
      </c>
      <c r="AL208" s="62" t="s">
        <v>50</v>
      </c>
      <c r="AM208" s="62" t="s">
        <v>51</v>
      </c>
      <c r="AN208" s="5"/>
      <c r="AO208" s="7"/>
    </row>
    <row r="209" spans="1:41" ht="15.75" customHeight="1" x14ac:dyDescent="0.25">
      <c r="A209" s="4">
        <v>208</v>
      </c>
      <c r="B209" s="5" t="s">
        <v>39</v>
      </c>
      <c r="C209" s="58">
        <v>3.7</v>
      </c>
      <c r="D209" s="61" t="s">
        <v>678</v>
      </c>
      <c r="E209" s="72" t="s">
        <v>119</v>
      </c>
      <c r="F209" s="62" t="s">
        <v>679</v>
      </c>
      <c r="G209" s="8" t="s">
        <v>56</v>
      </c>
      <c r="H209" s="8">
        <v>1995</v>
      </c>
      <c r="I209" s="62" t="s">
        <v>89</v>
      </c>
      <c r="J209" s="62" t="s">
        <v>45</v>
      </c>
      <c r="K209" s="62" t="s">
        <v>45</v>
      </c>
      <c r="L209" s="62" t="s">
        <v>128</v>
      </c>
      <c r="M209" s="62" t="s">
        <v>680</v>
      </c>
      <c r="N209" s="5">
        <v>0</v>
      </c>
      <c r="O209" s="8">
        <v>0</v>
      </c>
      <c r="P209" s="69">
        <v>66000</v>
      </c>
      <c r="Q209" s="69">
        <v>112000</v>
      </c>
      <c r="R209" s="69">
        <v>89000</v>
      </c>
      <c r="S209" s="62" t="s">
        <v>122</v>
      </c>
      <c r="T209" s="8">
        <f t="shared" si="8"/>
        <v>28</v>
      </c>
      <c r="U209" s="8">
        <v>1</v>
      </c>
      <c r="V209" s="8">
        <v>1</v>
      </c>
      <c r="W209" s="8">
        <v>0</v>
      </c>
      <c r="X209" s="8">
        <v>1</v>
      </c>
      <c r="Y209" s="8">
        <v>1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1</v>
      </c>
      <c r="AF209" s="8">
        <v>1</v>
      </c>
      <c r="AG209" s="8">
        <v>0</v>
      </c>
      <c r="AH209" s="8">
        <v>0</v>
      </c>
      <c r="AI209" s="8">
        <v>0</v>
      </c>
      <c r="AJ209" s="8">
        <v>0</v>
      </c>
      <c r="AK209" s="62" t="s">
        <v>49</v>
      </c>
      <c r="AL209" s="62" t="s">
        <v>50</v>
      </c>
      <c r="AM209" s="62" t="s">
        <v>77</v>
      </c>
      <c r="AN209" s="5"/>
      <c r="AO209" s="7"/>
    </row>
    <row r="210" spans="1:41" ht="15.75" customHeight="1" x14ac:dyDescent="0.25">
      <c r="A210" s="4">
        <v>209</v>
      </c>
      <c r="B210" s="5" t="s">
        <v>681</v>
      </c>
      <c r="C210" s="58">
        <v>4.8</v>
      </c>
      <c r="D210" s="61" t="s">
        <v>682</v>
      </c>
      <c r="E210" s="72" t="s">
        <v>683</v>
      </c>
      <c r="F210" s="62" t="s">
        <v>683</v>
      </c>
      <c r="G210" s="8" t="s">
        <v>70</v>
      </c>
      <c r="H210" s="8">
        <v>1925</v>
      </c>
      <c r="I210" s="62" t="s">
        <v>44</v>
      </c>
      <c r="J210" s="62" t="s">
        <v>161</v>
      </c>
      <c r="K210" s="62" t="s">
        <v>162</v>
      </c>
      <c r="L210" s="62" t="s">
        <v>91</v>
      </c>
      <c r="M210" s="62" t="s">
        <v>47</v>
      </c>
      <c r="N210" s="5">
        <v>0</v>
      </c>
      <c r="O210" s="8">
        <v>0</v>
      </c>
      <c r="P210" s="69">
        <v>76000</v>
      </c>
      <c r="Q210" s="69">
        <v>125000</v>
      </c>
      <c r="R210" s="69">
        <v>100500</v>
      </c>
      <c r="S210" s="62" t="s">
        <v>403</v>
      </c>
      <c r="T210" s="8">
        <f t="shared" si="8"/>
        <v>98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8">
        <v>0</v>
      </c>
      <c r="AJ210" s="8">
        <v>0</v>
      </c>
      <c r="AK210" s="62" t="s">
        <v>49</v>
      </c>
      <c r="AL210" s="62" t="s">
        <v>169</v>
      </c>
      <c r="AM210" s="62" t="s">
        <v>51</v>
      </c>
      <c r="AN210" s="5"/>
      <c r="AO210" s="7"/>
    </row>
    <row r="211" spans="1:41" ht="15.75" customHeight="1" x14ac:dyDescent="0.25">
      <c r="A211" s="4">
        <v>210</v>
      </c>
      <c r="B211" s="5" t="s">
        <v>684</v>
      </c>
      <c r="C211" s="58">
        <v>3.8</v>
      </c>
      <c r="D211" s="61" t="s">
        <v>685</v>
      </c>
      <c r="E211" s="72" t="s">
        <v>79</v>
      </c>
      <c r="F211" s="62" t="s">
        <v>80</v>
      </c>
      <c r="G211" s="8" t="s">
        <v>70</v>
      </c>
      <c r="H211" s="8">
        <v>2002</v>
      </c>
      <c r="I211" s="62" t="s">
        <v>44</v>
      </c>
      <c r="J211" s="62" t="s">
        <v>517</v>
      </c>
      <c r="K211" s="62" t="s">
        <v>518</v>
      </c>
      <c r="L211" s="62" t="s">
        <v>60</v>
      </c>
      <c r="M211" s="62" t="s">
        <v>686</v>
      </c>
      <c r="N211" s="5">
        <v>0</v>
      </c>
      <c r="O211" s="8">
        <v>0</v>
      </c>
      <c r="P211" s="69">
        <v>44000</v>
      </c>
      <c r="Q211" s="69">
        <v>86000</v>
      </c>
      <c r="R211" s="69">
        <v>65000</v>
      </c>
      <c r="S211" s="62" t="s">
        <v>85</v>
      </c>
      <c r="T211" s="8">
        <f t="shared" si="8"/>
        <v>21</v>
      </c>
      <c r="U211" s="8">
        <v>0</v>
      </c>
      <c r="V211" s="8">
        <v>0</v>
      </c>
      <c r="W211" s="8">
        <v>0</v>
      </c>
      <c r="X211" s="8">
        <v>1</v>
      </c>
      <c r="Y211" s="8">
        <v>1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1</v>
      </c>
      <c r="AG211" s="8">
        <v>1</v>
      </c>
      <c r="AH211" s="8">
        <v>0</v>
      </c>
      <c r="AI211" s="8">
        <v>0</v>
      </c>
      <c r="AJ211" s="8">
        <v>0</v>
      </c>
      <c r="AK211" s="62" t="s">
        <v>132</v>
      </c>
      <c r="AL211" s="62" t="s">
        <v>50</v>
      </c>
      <c r="AM211" s="62" t="s">
        <v>77</v>
      </c>
      <c r="AN211" s="5"/>
      <c r="AO211" s="7"/>
    </row>
    <row r="212" spans="1:41" ht="15.75" customHeight="1" x14ac:dyDescent="0.25">
      <c r="A212" s="4">
        <v>211</v>
      </c>
      <c r="B212" s="5" t="s">
        <v>687</v>
      </c>
      <c r="C212" s="58">
        <v>3.4</v>
      </c>
      <c r="D212" s="61" t="s">
        <v>688</v>
      </c>
      <c r="E212" s="72" t="s">
        <v>373</v>
      </c>
      <c r="F212" s="62" t="s">
        <v>243</v>
      </c>
      <c r="G212" s="8" t="s">
        <v>56</v>
      </c>
      <c r="H212" s="8">
        <v>1930</v>
      </c>
      <c r="I212" s="62" t="s">
        <v>71</v>
      </c>
      <c r="J212" s="62" t="s">
        <v>397</v>
      </c>
      <c r="K212" s="62" t="s">
        <v>71</v>
      </c>
      <c r="L212" s="62" t="s">
        <v>83</v>
      </c>
      <c r="M212" s="62" t="s">
        <v>47</v>
      </c>
      <c r="N212" s="5">
        <v>1</v>
      </c>
      <c r="O212" s="8">
        <v>0</v>
      </c>
      <c r="P212" s="69">
        <v>31000</v>
      </c>
      <c r="Q212" s="69">
        <v>52000</v>
      </c>
      <c r="R212" s="69">
        <v>41500</v>
      </c>
      <c r="S212" s="62" t="s">
        <v>375</v>
      </c>
      <c r="T212" s="8">
        <f t="shared" si="8"/>
        <v>93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8">
        <v>0</v>
      </c>
      <c r="AJ212" s="8">
        <v>0</v>
      </c>
      <c r="AK212" s="62" t="s">
        <v>107</v>
      </c>
      <c r="AL212" s="62" t="s">
        <v>50</v>
      </c>
      <c r="AM212" s="62" t="s">
        <v>51</v>
      </c>
      <c r="AN212" s="5"/>
      <c r="AO212" s="7"/>
    </row>
    <row r="213" spans="1:41" ht="15.75" customHeight="1" x14ac:dyDescent="0.25">
      <c r="A213" s="4">
        <v>212</v>
      </c>
      <c r="B213" s="5" t="s">
        <v>39</v>
      </c>
      <c r="C213" s="58">
        <v>4.3</v>
      </c>
      <c r="D213" s="61" t="s">
        <v>689</v>
      </c>
      <c r="E213" s="72" t="s">
        <v>87</v>
      </c>
      <c r="F213" s="62" t="s">
        <v>87</v>
      </c>
      <c r="G213" s="8" t="s">
        <v>88</v>
      </c>
      <c r="H213" s="8">
        <v>1999</v>
      </c>
      <c r="I213" s="62" t="s">
        <v>142</v>
      </c>
      <c r="J213" s="62" t="s">
        <v>100</v>
      </c>
      <c r="K213" s="62" t="s">
        <v>65</v>
      </c>
      <c r="L213" s="62" t="s">
        <v>83</v>
      </c>
      <c r="M213" s="62" t="s">
        <v>47</v>
      </c>
      <c r="N213" s="5">
        <v>0</v>
      </c>
      <c r="O213" s="8">
        <v>0</v>
      </c>
      <c r="P213" s="69">
        <v>53000</v>
      </c>
      <c r="Q213" s="69">
        <v>92000</v>
      </c>
      <c r="R213" s="69">
        <v>72500</v>
      </c>
      <c r="S213" s="62" t="s">
        <v>93</v>
      </c>
      <c r="T213" s="8">
        <f t="shared" si="8"/>
        <v>24</v>
      </c>
      <c r="U213" s="8">
        <v>1</v>
      </c>
      <c r="V213" s="8">
        <v>1</v>
      </c>
      <c r="W213" s="8">
        <v>1</v>
      </c>
      <c r="X213" s="8">
        <v>1</v>
      </c>
      <c r="Y213" s="8">
        <v>1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1</v>
      </c>
      <c r="AF213" s="8">
        <v>1</v>
      </c>
      <c r="AG213" s="8">
        <v>1</v>
      </c>
      <c r="AH213" s="8">
        <v>0</v>
      </c>
      <c r="AI213" s="8">
        <v>0</v>
      </c>
      <c r="AJ213" s="8">
        <v>0</v>
      </c>
      <c r="AK213" s="62" t="s">
        <v>49</v>
      </c>
      <c r="AL213" s="62" t="s">
        <v>50</v>
      </c>
      <c r="AM213" s="62" t="s">
        <v>51</v>
      </c>
      <c r="AN213" s="5"/>
      <c r="AO213" s="7"/>
    </row>
    <row r="214" spans="1:41" ht="15.75" customHeight="1" x14ac:dyDescent="0.25">
      <c r="A214" s="4">
        <v>213</v>
      </c>
      <c r="B214" s="5" t="s">
        <v>433</v>
      </c>
      <c r="C214" s="58">
        <v>4.8</v>
      </c>
      <c r="D214" s="61" t="s">
        <v>62</v>
      </c>
      <c r="E214" s="72" t="s">
        <v>63</v>
      </c>
      <c r="F214" s="62" t="s">
        <v>63</v>
      </c>
      <c r="G214" s="8" t="s">
        <v>43</v>
      </c>
      <c r="H214" s="8">
        <v>2010</v>
      </c>
      <c r="I214" s="62" t="s">
        <v>44</v>
      </c>
      <c r="J214" s="62" t="s">
        <v>64</v>
      </c>
      <c r="K214" s="62" t="s">
        <v>65</v>
      </c>
      <c r="L214" s="62" t="s">
        <v>66</v>
      </c>
      <c r="M214" s="62" t="s">
        <v>47</v>
      </c>
      <c r="N214" s="5">
        <v>0</v>
      </c>
      <c r="O214" s="8">
        <v>0</v>
      </c>
      <c r="P214" s="69">
        <v>44000</v>
      </c>
      <c r="Q214" s="69">
        <v>78000</v>
      </c>
      <c r="R214" s="69">
        <v>61000</v>
      </c>
      <c r="S214" s="62" t="s">
        <v>67</v>
      </c>
      <c r="T214" s="8">
        <f t="shared" si="8"/>
        <v>13</v>
      </c>
      <c r="U214" s="8">
        <v>1</v>
      </c>
      <c r="V214" s="8">
        <v>0</v>
      </c>
      <c r="W214" s="8">
        <v>0</v>
      </c>
      <c r="X214" s="8">
        <v>1</v>
      </c>
      <c r="Y214" s="8">
        <v>1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  <c r="AK214" s="62" t="s">
        <v>132</v>
      </c>
      <c r="AL214" s="62" t="s">
        <v>169</v>
      </c>
      <c r="AM214" s="62" t="s">
        <v>51</v>
      </c>
      <c r="AN214" s="5"/>
      <c r="AO214" s="7"/>
    </row>
    <row r="215" spans="1:41" ht="15.75" customHeight="1" x14ac:dyDescent="0.25">
      <c r="A215" s="4">
        <v>214</v>
      </c>
      <c r="B215" s="5" t="s">
        <v>547</v>
      </c>
      <c r="C215" s="58">
        <v>3.4</v>
      </c>
      <c r="D215" s="61" t="s">
        <v>548</v>
      </c>
      <c r="E215" s="72" t="s">
        <v>549</v>
      </c>
      <c r="F215" s="62" t="s">
        <v>549</v>
      </c>
      <c r="G215" s="8" t="s">
        <v>70</v>
      </c>
      <c r="H215" s="8">
        <v>1846</v>
      </c>
      <c r="I215" s="62" t="s">
        <v>89</v>
      </c>
      <c r="J215" s="62" t="s">
        <v>499</v>
      </c>
      <c r="K215" s="62" t="s">
        <v>427</v>
      </c>
      <c r="L215" s="62" t="s">
        <v>60</v>
      </c>
      <c r="M215" s="62" t="s">
        <v>47</v>
      </c>
      <c r="N215" s="5">
        <v>0</v>
      </c>
      <c r="O215" s="8">
        <v>0</v>
      </c>
      <c r="P215" s="69">
        <v>85000</v>
      </c>
      <c r="Q215" s="69">
        <v>134000</v>
      </c>
      <c r="R215" s="69">
        <v>109500</v>
      </c>
      <c r="S215" s="62" t="s">
        <v>145</v>
      </c>
      <c r="T215" s="8">
        <f t="shared" si="8"/>
        <v>177</v>
      </c>
      <c r="U215" s="8">
        <v>1</v>
      </c>
      <c r="V215" s="8">
        <v>0</v>
      </c>
      <c r="W215" s="8">
        <v>0</v>
      </c>
      <c r="X215" s="8">
        <v>1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1</v>
      </c>
      <c r="AG215" s="8">
        <v>1</v>
      </c>
      <c r="AH215" s="8">
        <v>0</v>
      </c>
      <c r="AI215" s="8">
        <v>0</v>
      </c>
      <c r="AJ215" s="8">
        <v>0</v>
      </c>
      <c r="AK215" s="62" t="s">
        <v>486</v>
      </c>
      <c r="AL215" s="62" t="s">
        <v>50</v>
      </c>
      <c r="AM215" s="62" t="s">
        <v>51</v>
      </c>
      <c r="AN215" s="5"/>
      <c r="AO215" s="7"/>
    </row>
    <row r="216" spans="1:41" ht="15.75" customHeight="1" x14ac:dyDescent="0.25">
      <c r="A216" s="4">
        <v>215</v>
      </c>
      <c r="B216" s="5" t="s">
        <v>224</v>
      </c>
      <c r="C216" s="58">
        <v>3.9</v>
      </c>
      <c r="D216" s="61" t="s">
        <v>546</v>
      </c>
      <c r="E216" s="72" t="s">
        <v>134</v>
      </c>
      <c r="F216" s="62" t="s">
        <v>134</v>
      </c>
      <c r="G216" s="8" t="s">
        <v>81</v>
      </c>
      <c r="H216" s="8">
        <v>2005</v>
      </c>
      <c r="I216" s="62" t="s">
        <v>44</v>
      </c>
      <c r="J216" s="62" t="s">
        <v>110</v>
      </c>
      <c r="K216" s="62" t="s">
        <v>111</v>
      </c>
      <c r="L216" s="62" t="s">
        <v>83</v>
      </c>
      <c r="M216" s="62" t="s">
        <v>47</v>
      </c>
      <c r="N216" s="5">
        <v>0</v>
      </c>
      <c r="O216" s="8">
        <v>0</v>
      </c>
      <c r="P216" s="69">
        <v>59000</v>
      </c>
      <c r="Q216" s="69">
        <v>110000</v>
      </c>
      <c r="R216" s="69">
        <v>84500</v>
      </c>
      <c r="S216" s="62" t="s">
        <v>138</v>
      </c>
      <c r="T216" s="8">
        <f t="shared" si="8"/>
        <v>18</v>
      </c>
      <c r="U216" s="8">
        <v>1</v>
      </c>
      <c r="V216" s="8">
        <v>1</v>
      </c>
      <c r="W216" s="8">
        <v>0</v>
      </c>
      <c r="X216" s="8">
        <v>0</v>
      </c>
      <c r="Y216" s="8">
        <v>1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  <c r="AK216" s="62" t="s">
        <v>146</v>
      </c>
      <c r="AL216" s="62" t="s">
        <v>50</v>
      </c>
      <c r="AM216" s="62" t="s">
        <v>77</v>
      </c>
      <c r="AN216" s="5"/>
      <c r="AO216" s="7"/>
    </row>
    <row r="217" spans="1:41" ht="15.75" customHeight="1" x14ac:dyDescent="0.25">
      <c r="A217" s="4">
        <v>216</v>
      </c>
      <c r="B217" s="5" t="s">
        <v>39</v>
      </c>
      <c r="C217" s="58">
        <v>3.4</v>
      </c>
      <c r="D217" s="61" t="s">
        <v>690</v>
      </c>
      <c r="E217" s="72" t="s">
        <v>172</v>
      </c>
      <c r="F217" s="62" t="s">
        <v>172</v>
      </c>
      <c r="G217" s="8" t="s">
        <v>81</v>
      </c>
      <c r="H217" s="8">
        <v>1992</v>
      </c>
      <c r="I217" s="62" t="s">
        <v>44</v>
      </c>
      <c r="J217" s="62" t="s">
        <v>82</v>
      </c>
      <c r="K217" s="62" t="s">
        <v>65</v>
      </c>
      <c r="L217" s="62" t="s">
        <v>180</v>
      </c>
      <c r="M217" s="62" t="s">
        <v>47</v>
      </c>
      <c r="N217" s="5">
        <v>0</v>
      </c>
      <c r="O217" s="8">
        <v>0</v>
      </c>
      <c r="P217" s="69">
        <v>64000</v>
      </c>
      <c r="Q217" s="69">
        <v>111000</v>
      </c>
      <c r="R217" s="69">
        <v>87500</v>
      </c>
      <c r="S217" s="62" t="s">
        <v>176</v>
      </c>
      <c r="T217" s="8">
        <f t="shared" si="8"/>
        <v>31</v>
      </c>
      <c r="U217" s="8">
        <v>0</v>
      </c>
      <c r="V217" s="8">
        <v>0</v>
      </c>
      <c r="W217" s="8">
        <v>0</v>
      </c>
      <c r="X217" s="8">
        <v>0</v>
      </c>
      <c r="Y217" s="8">
        <v>1</v>
      </c>
      <c r="Z217" s="8">
        <v>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  <c r="AK217" s="62" t="s">
        <v>49</v>
      </c>
      <c r="AL217" s="62" t="s">
        <v>50</v>
      </c>
      <c r="AM217" s="62" t="s">
        <v>77</v>
      </c>
      <c r="AN217" s="5"/>
      <c r="AO217" s="7"/>
    </row>
    <row r="218" spans="1:41" ht="15.75" customHeight="1" x14ac:dyDescent="0.25">
      <c r="A218" s="4">
        <v>217</v>
      </c>
      <c r="B218" s="5" t="s">
        <v>130</v>
      </c>
      <c r="C218" s="58">
        <v>3.1</v>
      </c>
      <c r="D218" s="61" t="s">
        <v>691</v>
      </c>
      <c r="E218" s="72" t="s">
        <v>98</v>
      </c>
      <c r="F218" s="62" t="s">
        <v>692</v>
      </c>
      <c r="G218" s="8" t="s">
        <v>70</v>
      </c>
      <c r="H218" s="8">
        <v>1997</v>
      </c>
      <c r="I218" s="62" t="s">
        <v>89</v>
      </c>
      <c r="J218" s="62" t="s">
        <v>693</v>
      </c>
      <c r="K218" s="62" t="s">
        <v>144</v>
      </c>
      <c r="L218" s="62" t="s">
        <v>128</v>
      </c>
      <c r="M218" s="62" t="s">
        <v>694</v>
      </c>
      <c r="N218" s="5">
        <v>0</v>
      </c>
      <c r="O218" s="8">
        <v>0</v>
      </c>
      <c r="P218" s="69">
        <v>65000</v>
      </c>
      <c r="Q218" s="69">
        <v>120000</v>
      </c>
      <c r="R218" s="69">
        <v>92500</v>
      </c>
      <c r="S218" s="62" t="s">
        <v>102</v>
      </c>
      <c r="T218" s="8">
        <f t="shared" si="8"/>
        <v>26</v>
      </c>
      <c r="U218" s="8">
        <v>1</v>
      </c>
      <c r="V218" s="8">
        <v>0</v>
      </c>
      <c r="W218" s="8">
        <v>0</v>
      </c>
      <c r="X218" s="8">
        <v>1</v>
      </c>
      <c r="Y218" s="8">
        <v>1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1</v>
      </c>
      <c r="AF218" s="8">
        <v>1</v>
      </c>
      <c r="AG218" s="8">
        <v>0</v>
      </c>
      <c r="AH218" s="8">
        <v>0</v>
      </c>
      <c r="AI218" s="8">
        <v>0</v>
      </c>
      <c r="AJ218" s="8">
        <v>0</v>
      </c>
      <c r="AK218" s="62" t="s">
        <v>132</v>
      </c>
      <c r="AL218" s="62" t="s">
        <v>50</v>
      </c>
      <c r="AM218" s="62" t="s">
        <v>77</v>
      </c>
      <c r="AN218" s="5"/>
      <c r="AO218" s="7"/>
    </row>
    <row r="219" spans="1:41" ht="15.75" customHeight="1" x14ac:dyDescent="0.25">
      <c r="A219" s="4">
        <v>218</v>
      </c>
      <c r="B219" s="5" t="s">
        <v>695</v>
      </c>
      <c r="C219" s="58">
        <v>3.2</v>
      </c>
      <c r="D219" s="61" t="s">
        <v>394</v>
      </c>
      <c r="E219" s="72" t="s">
        <v>395</v>
      </c>
      <c r="F219" s="62" t="s">
        <v>396</v>
      </c>
      <c r="G219" s="8" t="s">
        <v>120</v>
      </c>
      <c r="H219" s="8">
        <v>1958</v>
      </c>
      <c r="I219" s="62" t="s">
        <v>160</v>
      </c>
      <c r="J219" s="62" t="s">
        <v>397</v>
      </c>
      <c r="K219" s="62" t="s">
        <v>71</v>
      </c>
      <c r="L219" s="62" t="s">
        <v>91</v>
      </c>
      <c r="M219" s="62" t="s">
        <v>398</v>
      </c>
      <c r="N219" s="5">
        <v>0</v>
      </c>
      <c r="O219" s="8">
        <v>0</v>
      </c>
      <c r="P219" s="69">
        <v>60000</v>
      </c>
      <c r="Q219" s="69">
        <v>103000</v>
      </c>
      <c r="R219" s="69">
        <v>81500</v>
      </c>
      <c r="S219" s="62" t="s">
        <v>122</v>
      </c>
      <c r="T219" s="8">
        <f t="shared" si="8"/>
        <v>65</v>
      </c>
      <c r="U219" s="8">
        <v>1</v>
      </c>
      <c r="V219" s="8">
        <v>1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1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  <c r="AK219" s="62" t="s">
        <v>49</v>
      </c>
      <c r="AL219" s="62" t="s">
        <v>50</v>
      </c>
      <c r="AM219" s="62" t="s">
        <v>77</v>
      </c>
      <c r="AN219" s="5"/>
      <c r="AO219" s="7"/>
    </row>
    <row r="220" spans="1:41" ht="15.75" customHeight="1" x14ac:dyDescent="0.25">
      <c r="A220" s="4">
        <v>219</v>
      </c>
      <c r="B220" s="5" t="s">
        <v>696</v>
      </c>
      <c r="C220" s="58">
        <v>4.3</v>
      </c>
      <c r="D220" s="61" t="s">
        <v>697</v>
      </c>
      <c r="E220" s="72" t="s">
        <v>698</v>
      </c>
      <c r="F220" s="62" t="s">
        <v>698</v>
      </c>
      <c r="G220" s="8" t="s">
        <v>70</v>
      </c>
      <c r="H220" s="8">
        <v>1981</v>
      </c>
      <c r="I220" s="62" t="s">
        <v>44</v>
      </c>
      <c r="J220" s="62" t="s">
        <v>699</v>
      </c>
      <c r="K220" s="62" t="s">
        <v>175</v>
      </c>
      <c r="L220" s="62" t="s">
        <v>83</v>
      </c>
      <c r="M220" s="62" t="s">
        <v>700</v>
      </c>
      <c r="N220" s="5">
        <v>0</v>
      </c>
      <c r="O220" s="8">
        <v>0</v>
      </c>
      <c r="P220" s="69">
        <v>53000</v>
      </c>
      <c r="Q220" s="69">
        <v>105000</v>
      </c>
      <c r="R220" s="69">
        <v>79000</v>
      </c>
      <c r="S220" s="62" t="s">
        <v>258</v>
      </c>
      <c r="T220" s="8">
        <f t="shared" si="8"/>
        <v>42</v>
      </c>
      <c r="U220" s="8">
        <v>0</v>
      </c>
      <c r="V220" s="8">
        <v>0</v>
      </c>
      <c r="W220" s="8">
        <v>0</v>
      </c>
      <c r="X220" s="8">
        <v>0</v>
      </c>
      <c r="Y220" s="8">
        <v>1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  <c r="AK220" s="62" t="s">
        <v>132</v>
      </c>
      <c r="AL220" s="62" t="s">
        <v>50</v>
      </c>
      <c r="AM220" s="62" t="s">
        <v>77</v>
      </c>
      <c r="AN220" s="5"/>
      <c r="AO220" s="7"/>
    </row>
    <row r="221" spans="1:41" ht="15.75" customHeight="1" x14ac:dyDescent="0.25">
      <c r="A221" s="4">
        <v>220</v>
      </c>
      <c r="B221" s="5" t="s">
        <v>246</v>
      </c>
      <c r="C221" s="58">
        <v>3.6</v>
      </c>
      <c r="D221" s="61" t="s">
        <v>550</v>
      </c>
      <c r="E221" s="72" t="s">
        <v>269</v>
      </c>
      <c r="F221" s="62" t="s">
        <v>551</v>
      </c>
      <c r="G221" s="8" t="s">
        <v>120</v>
      </c>
      <c r="H221" s="8">
        <v>1851</v>
      </c>
      <c r="I221" s="62" t="s">
        <v>44</v>
      </c>
      <c r="J221" s="62" t="s">
        <v>161</v>
      </c>
      <c r="K221" s="62" t="s">
        <v>162</v>
      </c>
      <c r="L221" s="62" t="s">
        <v>128</v>
      </c>
      <c r="M221" s="62" t="s">
        <v>47</v>
      </c>
      <c r="N221" s="5">
        <v>0</v>
      </c>
      <c r="O221" s="8">
        <v>0</v>
      </c>
      <c r="P221" s="69">
        <v>124000</v>
      </c>
      <c r="Q221" s="69">
        <v>204000</v>
      </c>
      <c r="R221" s="69">
        <v>164000</v>
      </c>
      <c r="S221" s="62" t="s">
        <v>138</v>
      </c>
      <c r="T221" s="8">
        <f t="shared" si="8"/>
        <v>172</v>
      </c>
      <c r="U221" s="8">
        <v>1</v>
      </c>
      <c r="V221" s="8">
        <v>1</v>
      </c>
      <c r="W221" s="8">
        <v>1</v>
      </c>
      <c r="X221" s="8">
        <v>0</v>
      </c>
      <c r="Y221" s="8">
        <v>1</v>
      </c>
      <c r="Z221" s="8">
        <v>0</v>
      </c>
      <c r="AA221" s="8">
        <v>0</v>
      </c>
      <c r="AB221" s="8">
        <v>0</v>
      </c>
      <c r="AC221" s="8">
        <v>1</v>
      </c>
      <c r="AD221" s="8">
        <v>0</v>
      </c>
      <c r="AE221" s="8">
        <v>1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62" t="s">
        <v>49</v>
      </c>
      <c r="AL221" s="62" t="s">
        <v>169</v>
      </c>
      <c r="AM221" s="62" t="s">
        <v>108</v>
      </c>
      <c r="AN221" s="5"/>
      <c r="AO221" s="7"/>
    </row>
    <row r="222" spans="1:41" ht="15.75" customHeight="1" x14ac:dyDescent="0.25">
      <c r="A222" s="4">
        <v>221</v>
      </c>
      <c r="B222" s="5" t="s">
        <v>552</v>
      </c>
      <c r="C222" s="58">
        <v>3.9</v>
      </c>
      <c r="D222" s="61" t="s">
        <v>553</v>
      </c>
      <c r="E222" s="72" t="s">
        <v>554</v>
      </c>
      <c r="F222" s="62" t="s">
        <v>555</v>
      </c>
      <c r="G222" s="8" t="s">
        <v>56</v>
      </c>
      <c r="H222" s="8">
        <v>1976</v>
      </c>
      <c r="I222" s="62" t="s">
        <v>142</v>
      </c>
      <c r="J222" s="62" t="s">
        <v>136</v>
      </c>
      <c r="K222" s="62" t="s">
        <v>136</v>
      </c>
      <c r="L222" s="62" t="s">
        <v>128</v>
      </c>
      <c r="M222" s="62" t="s">
        <v>47</v>
      </c>
      <c r="N222" s="5">
        <v>0</v>
      </c>
      <c r="O222" s="8">
        <v>0</v>
      </c>
      <c r="P222" s="69">
        <v>131000</v>
      </c>
      <c r="Q222" s="69">
        <v>207000</v>
      </c>
      <c r="R222" s="69">
        <v>169000</v>
      </c>
      <c r="S222" s="62" t="s">
        <v>102</v>
      </c>
      <c r="T222" s="8">
        <f t="shared" si="8"/>
        <v>47</v>
      </c>
      <c r="U222" s="8">
        <v>1</v>
      </c>
      <c r="V222" s="8">
        <v>1</v>
      </c>
      <c r="W222" s="8">
        <v>0</v>
      </c>
      <c r="X222" s="8">
        <v>1</v>
      </c>
      <c r="Y222" s="8">
        <v>1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1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62" t="s">
        <v>49</v>
      </c>
      <c r="AL222" s="62" t="s">
        <v>169</v>
      </c>
      <c r="AM222" s="62" t="s">
        <v>108</v>
      </c>
      <c r="AN222" s="5"/>
      <c r="AO222" s="7"/>
    </row>
    <row r="223" spans="1:41" ht="15.75" customHeight="1" x14ac:dyDescent="0.25">
      <c r="A223" s="4">
        <v>222</v>
      </c>
      <c r="B223" s="5" t="s">
        <v>220</v>
      </c>
      <c r="C223" s="58">
        <v>3.8</v>
      </c>
      <c r="D223" s="61" t="s">
        <v>204</v>
      </c>
      <c r="E223" s="72" t="s">
        <v>556</v>
      </c>
      <c r="F223" s="62" t="s">
        <v>205</v>
      </c>
      <c r="G223" s="8" t="s">
        <v>120</v>
      </c>
      <c r="H223" s="8">
        <v>1996</v>
      </c>
      <c r="I223" s="62" t="s">
        <v>89</v>
      </c>
      <c r="J223" s="62" t="s">
        <v>206</v>
      </c>
      <c r="K223" s="62" t="s">
        <v>207</v>
      </c>
      <c r="L223" s="62" t="s">
        <v>60</v>
      </c>
      <c r="M223" s="62" t="s">
        <v>47</v>
      </c>
      <c r="N223" s="5">
        <v>0</v>
      </c>
      <c r="O223" s="8">
        <v>0</v>
      </c>
      <c r="P223" s="69">
        <v>110000</v>
      </c>
      <c r="Q223" s="69">
        <v>174000</v>
      </c>
      <c r="R223" s="69">
        <v>142000</v>
      </c>
      <c r="S223" s="62" t="s">
        <v>102</v>
      </c>
      <c r="T223" s="8">
        <f t="shared" si="8"/>
        <v>27</v>
      </c>
      <c r="U223" s="8">
        <v>1</v>
      </c>
      <c r="V223" s="8">
        <v>1</v>
      </c>
      <c r="W223" s="8">
        <v>1</v>
      </c>
      <c r="X223" s="8">
        <v>1</v>
      </c>
      <c r="Y223" s="8">
        <v>0</v>
      </c>
      <c r="Z223" s="8">
        <v>0</v>
      </c>
      <c r="AA223" s="8">
        <v>0</v>
      </c>
      <c r="AB223" s="8">
        <v>0</v>
      </c>
      <c r="AC223" s="8">
        <v>1</v>
      </c>
      <c r="AD223" s="8">
        <v>1</v>
      </c>
      <c r="AE223" s="8">
        <v>0</v>
      </c>
      <c r="AF223" s="8">
        <v>0</v>
      </c>
      <c r="AG223" s="8">
        <v>0</v>
      </c>
      <c r="AH223" s="8">
        <v>1</v>
      </c>
      <c r="AI223" s="8">
        <v>0</v>
      </c>
      <c r="AJ223" s="8">
        <v>0</v>
      </c>
      <c r="AK223" s="62" t="s">
        <v>49</v>
      </c>
      <c r="AL223" s="62" t="s">
        <v>169</v>
      </c>
      <c r="AM223" s="62" t="s">
        <v>108</v>
      </c>
      <c r="AN223" s="5"/>
      <c r="AO223" s="7"/>
    </row>
    <row r="224" spans="1:41" ht="15.75" customHeight="1" x14ac:dyDescent="0.25">
      <c r="A224" s="4">
        <v>223</v>
      </c>
      <c r="B224" s="5" t="s">
        <v>130</v>
      </c>
      <c r="C224" s="58">
        <v>2.8</v>
      </c>
      <c r="D224" s="61" t="s">
        <v>701</v>
      </c>
      <c r="E224" s="72" t="s">
        <v>702</v>
      </c>
      <c r="F224" s="62" t="s">
        <v>703</v>
      </c>
      <c r="G224" s="8" t="s">
        <v>43</v>
      </c>
      <c r="H224" s="8" t="s">
        <v>47</v>
      </c>
      <c r="I224" s="62" t="s">
        <v>160</v>
      </c>
      <c r="J224" s="62" t="s">
        <v>704</v>
      </c>
      <c r="K224" s="62" t="s">
        <v>524</v>
      </c>
      <c r="L224" s="62" t="s">
        <v>46</v>
      </c>
      <c r="M224" s="62" t="s">
        <v>47</v>
      </c>
      <c r="N224" s="5">
        <v>0</v>
      </c>
      <c r="O224" s="8">
        <v>0</v>
      </c>
      <c r="P224" s="69">
        <v>33000</v>
      </c>
      <c r="Q224" s="69">
        <v>62000</v>
      </c>
      <c r="R224" s="69">
        <v>47500</v>
      </c>
      <c r="S224" s="62" t="s">
        <v>102</v>
      </c>
      <c r="T224" s="8" t="s">
        <v>47</v>
      </c>
      <c r="U224" s="8">
        <v>0</v>
      </c>
      <c r="V224" s="8">
        <v>0</v>
      </c>
      <c r="W224" s="8">
        <v>0</v>
      </c>
      <c r="X224" s="8">
        <v>1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62" t="s">
        <v>132</v>
      </c>
      <c r="AL224" s="62" t="s">
        <v>50</v>
      </c>
      <c r="AM224" s="62" t="s">
        <v>77</v>
      </c>
      <c r="AN224" s="5"/>
      <c r="AO224" s="7"/>
    </row>
    <row r="225" spans="1:41" ht="15.75" customHeight="1" x14ac:dyDescent="0.25">
      <c r="A225" s="4">
        <v>224</v>
      </c>
      <c r="B225" s="5" t="s">
        <v>557</v>
      </c>
      <c r="C225" s="58">
        <v>3.7</v>
      </c>
      <c r="D225" s="61" t="s">
        <v>133</v>
      </c>
      <c r="E225" s="72" t="s">
        <v>269</v>
      </c>
      <c r="F225" s="62" t="s">
        <v>135</v>
      </c>
      <c r="G225" s="8" t="s">
        <v>56</v>
      </c>
      <c r="H225" s="8">
        <v>1781</v>
      </c>
      <c r="I225" s="62" t="s">
        <v>89</v>
      </c>
      <c r="J225" s="62" t="s">
        <v>136</v>
      </c>
      <c r="K225" s="62" t="s">
        <v>136</v>
      </c>
      <c r="L225" s="62" t="s">
        <v>128</v>
      </c>
      <c r="M225" s="62" t="s">
        <v>137</v>
      </c>
      <c r="N225" s="5">
        <v>0</v>
      </c>
      <c r="O225" s="8">
        <v>0</v>
      </c>
      <c r="P225" s="69">
        <v>52000</v>
      </c>
      <c r="Q225" s="69">
        <v>101000</v>
      </c>
      <c r="R225" s="69">
        <v>76500</v>
      </c>
      <c r="S225" s="62" t="s">
        <v>138</v>
      </c>
      <c r="T225" s="8">
        <f t="shared" ref="T225:T231" si="9">2023-H225</f>
        <v>242</v>
      </c>
      <c r="U225" s="8">
        <v>0</v>
      </c>
      <c r="V225" s="8">
        <v>0</v>
      </c>
      <c r="W225" s="8">
        <v>0</v>
      </c>
      <c r="X225" s="8">
        <v>1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62" t="s">
        <v>107</v>
      </c>
      <c r="AL225" s="62" t="s">
        <v>50</v>
      </c>
      <c r="AM225" s="62" t="s">
        <v>108</v>
      </c>
      <c r="AN225" s="5"/>
      <c r="AO225" s="7"/>
    </row>
    <row r="226" spans="1:41" ht="15.75" customHeight="1" x14ac:dyDescent="0.25">
      <c r="A226" s="4">
        <v>225</v>
      </c>
      <c r="B226" s="5" t="s">
        <v>130</v>
      </c>
      <c r="C226" s="58">
        <v>3.4</v>
      </c>
      <c r="D226" s="61" t="s">
        <v>705</v>
      </c>
      <c r="E226" s="72" t="s">
        <v>98</v>
      </c>
      <c r="F226" s="62" t="s">
        <v>114</v>
      </c>
      <c r="G226" s="8" t="s">
        <v>81</v>
      </c>
      <c r="H226" s="8">
        <v>2013</v>
      </c>
      <c r="I226" s="62" t="s">
        <v>44</v>
      </c>
      <c r="J226" s="62" t="s">
        <v>155</v>
      </c>
      <c r="K226" s="62" t="s">
        <v>111</v>
      </c>
      <c r="L226" s="62" t="s">
        <v>83</v>
      </c>
      <c r="M226" s="62" t="s">
        <v>47</v>
      </c>
      <c r="N226" s="5">
        <v>0</v>
      </c>
      <c r="O226" s="8">
        <v>0</v>
      </c>
      <c r="P226" s="69">
        <v>48000</v>
      </c>
      <c r="Q226" s="69">
        <v>90000</v>
      </c>
      <c r="R226" s="69">
        <v>69000</v>
      </c>
      <c r="S226" s="62" t="s">
        <v>102</v>
      </c>
      <c r="T226" s="8">
        <f t="shared" si="9"/>
        <v>10</v>
      </c>
      <c r="U226" s="8">
        <v>1</v>
      </c>
      <c r="V226" s="8">
        <v>0</v>
      </c>
      <c r="W226" s="8">
        <v>0</v>
      </c>
      <c r="X226" s="8">
        <v>1</v>
      </c>
      <c r="Y226" s="8">
        <v>1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1</v>
      </c>
      <c r="AG226" s="8">
        <v>1</v>
      </c>
      <c r="AH226" s="8">
        <v>0</v>
      </c>
      <c r="AI226" s="8">
        <v>0</v>
      </c>
      <c r="AJ226" s="8">
        <v>0</v>
      </c>
      <c r="AK226" s="62" t="s">
        <v>132</v>
      </c>
      <c r="AL226" s="62" t="s">
        <v>50</v>
      </c>
      <c r="AM226" s="62" t="s">
        <v>77</v>
      </c>
      <c r="AN226" s="5"/>
      <c r="AO226" s="7"/>
    </row>
    <row r="227" spans="1:41" ht="15.75" customHeight="1" x14ac:dyDescent="0.25">
      <c r="A227" s="4">
        <v>226</v>
      </c>
      <c r="B227" s="5" t="s">
        <v>130</v>
      </c>
      <c r="C227" s="58">
        <v>4</v>
      </c>
      <c r="D227" s="61" t="s">
        <v>706</v>
      </c>
      <c r="E227" s="72" t="s">
        <v>707</v>
      </c>
      <c r="F227" s="62" t="s">
        <v>708</v>
      </c>
      <c r="G227" s="8" t="s">
        <v>88</v>
      </c>
      <c r="H227" s="8">
        <v>1984</v>
      </c>
      <c r="I227" s="62" t="s">
        <v>44</v>
      </c>
      <c r="J227" s="62" t="s">
        <v>216</v>
      </c>
      <c r="K227" s="62" t="s">
        <v>111</v>
      </c>
      <c r="L227" s="62" t="s">
        <v>46</v>
      </c>
      <c r="M227" s="62" t="s">
        <v>47</v>
      </c>
      <c r="N227" s="5">
        <v>0</v>
      </c>
      <c r="O227" s="8">
        <v>0</v>
      </c>
      <c r="P227" s="69">
        <v>34000</v>
      </c>
      <c r="Q227" s="69">
        <v>64000</v>
      </c>
      <c r="R227" s="69">
        <v>49000</v>
      </c>
      <c r="S227" s="62" t="s">
        <v>0</v>
      </c>
      <c r="T227" s="8">
        <f t="shared" si="9"/>
        <v>39</v>
      </c>
      <c r="U227" s="8">
        <v>1</v>
      </c>
      <c r="V227" s="8">
        <v>0</v>
      </c>
      <c r="W227" s="8">
        <v>0</v>
      </c>
      <c r="X227" s="8">
        <v>1</v>
      </c>
      <c r="Y227" s="8">
        <v>1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1</v>
      </c>
      <c r="AG227" s="8">
        <v>0</v>
      </c>
      <c r="AH227" s="8">
        <v>0</v>
      </c>
      <c r="AI227" s="8">
        <v>0</v>
      </c>
      <c r="AJ227" s="8">
        <v>0</v>
      </c>
      <c r="AK227" s="62" t="s">
        <v>132</v>
      </c>
      <c r="AL227" s="62" t="s">
        <v>50</v>
      </c>
      <c r="AM227" s="62" t="s">
        <v>77</v>
      </c>
      <c r="AN227" s="5"/>
      <c r="AO227" s="7"/>
    </row>
    <row r="228" spans="1:41" ht="15.75" customHeight="1" x14ac:dyDescent="0.25">
      <c r="A228" s="4">
        <v>227</v>
      </c>
      <c r="B228" s="5" t="s">
        <v>561</v>
      </c>
      <c r="C228" s="58">
        <v>3.5</v>
      </c>
      <c r="D228" s="61" t="s">
        <v>562</v>
      </c>
      <c r="E228" s="72" t="s">
        <v>98</v>
      </c>
      <c r="F228" s="62" t="s">
        <v>189</v>
      </c>
      <c r="G228" s="8" t="s">
        <v>56</v>
      </c>
      <c r="H228" s="8">
        <v>1970</v>
      </c>
      <c r="I228" s="62" t="s">
        <v>89</v>
      </c>
      <c r="J228" s="62" t="s">
        <v>216</v>
      </c>
      <c r="K228" s="62" t="s">
        <v>111</v>
      </c>
      <c r="L228" s="62" t="s">
        <v>128</v>
      </c>
      <c r="M228" s="62" t="s">
        <v>563</v>
      </c>
      <c r="N228" s="5">
        <v>0</v>
      </c>
      <c r="O228" s="8">
        <v>0</v>
      </c>
      <c r="P228" s="69">
        <v>132000</v>
      </c>
      <c r="Q228" s="69">
        <v>211000</v>
      </c>
      <c r="R228" s="69">
        <v>171500</v>
      </c>
      <c r="S228" s="62" t="s">
        <v>102</v>
      </c>
      <c r="T228" s="8">
        <f t="shared" si="9"/>
        <v>53</v>
      </c>
      <c r="U228" s="8">
        <v>1</v>
      </c>
      <c r="V228" s="8">
        <v>0</v>
      </c>
      <c r="W228" s="8">
        <v>1</v>
      </c>
      <c r="X228" s="8">
        <v>0</v>
      </c>
      <c r="Y228" s="8">
        <v>1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1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62" t="s">
        <v>49</v>
      </c>
      <c r="AL228" s="62" t="s">
        <v>50</v>
      </c>
      <c r="AM228" s="62" t="s">
        <v>51</v>
      </c>
      <c r="AN228" s="5"/>
      <c r="AO228" s="7"/>
    </row>
    <row r="229" spans="1:41" ht="15.75" customHeight="1" x14ac:dyDescent="0.25">
      <c r="A229" s="4">
        <v>228</v>
      </c>
      <c r="B229" s="5" t="s">
        <v>558</v>
      </c>
      <c r="C229" s="58">
        <v>3.8</v>
      </c>
      <c r="D229" s="61" t="s">
        <v>559</v>
      </c>
      <c r="E229" s="72" t="s">
        <v>560</v>
      </c>
      <c r="F229" s="62" t="s">
        <v>560</v>
      </c>
      <c r="G229" s="8" t="s">
        <v>43</v>
      </c>
      <c r="H229" s="8">
        <v>1981</v>
      </c>
      <c r="I229" s="62" t="s">
        <v>44</v>
      </c>
      <c r="J229" s="62" t="s">
        <v>161</v>
      </c>
      <c r="K229" s="62" t="s">
        <v>162</v>
      </c>
      <c r="L229" s="62" t="s">
        <v>74</v>
      </c>
      <c r="M229" s="62" t="s">
        <v>47</v>
      </c>
      <c r="N229" s="5">
        <v>0</v>
      </c>
      <c r="O229" s="8">
        <v>0</v>
      </c>
      <c r="P229" s="69">
        <v>81000</v>
      </c>
      <c r="Q229" s="69">
        <v>133000</v>
      </c>
      <c r="R229" s="69">
        <v>107000</v>
      </c>
      <c r="S229" s="62" t="s">
        <v>61</v>
      </c>
      <c r="T229" s="8">
        <f t="shared" si="9"/>
        <v>42</v>
      </c>
      <c r="U229" s="8">
        <v>1</v>
      </c>
      <c r="V229" s="8">
        <v>0</v>
      </c>
      <c r="W229" s="8">
        <v>0</v>
      </c>
      <c r="X229" s="8">
        <v>1</v>
      </c>
      <c r="Y229" s="8">
        <v>1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1</v>
      </c>
      <c r="AG229" s="8">
        <v>0</v>
      </c>
      <c r="AH229" s="8">
        <v>0</v>
      </c>
      <c r="AI229" s="8">
        <v>0</v>
      </c>
      <c r="AJ229" s="8">
        <v>0</v>
      </c>
      <c r="AK229" s="62" t="s">
        <v>49</v>
      </c>
      <c r="AL229" s="62" t="s">
        <v>50</v>
      </c>
      <c r="AM229" s="62" t="s">
        <v>51</v>
      </c>
      <c r="AN229" s="5"/>
      <c r="AO229" s="7"/>
    </row>
    <row r="230" spans="1:41" ht="15.75" customHeight="1" x14ac:dyDescent="0.25">
      <c r="A230" s="4">
        <v>229</v>
      </c>
      <c r="B230" s="5" t="s">
        <v>709</v>
      </c>
      <c r="C230" s="58">
        <v>3.7</v>
      </c>
      <c r="D230" s="61" t="s">
        <v>710</v>
      </c>
      <c r="E230" s="72" t="s">
        <v>711</v>
      </c>
      <c r="F230" s="62" t="s">
        <v>712</v>
      </c>
      <c r="G230" s="8" t="s">
        <v>88</v>
      </c>
      <c r="H230" s="8">
        <v>1996</v>
      </c>
      <c r="I230" s="62" t="s">
        <v>44</v>
      </c>
      <c r="J230" s="62" t="s">
        <v>155</v>
      </c>
      <c r="K230" s="62" t="s">
        <v>111</v>
      </c>
      <c r="L230" s="62" t="s">
        <v>83</v>
      </c>
      <c r="M230" s="62" t="s">
        <v>47</v>
      </c>
      <c r="N230" s="5">
        <v>0</v>
      </c>
      <c r="O230" s="8">
        <v>0</v>
      </c>
      <c r="P230" s="69">
        <v>42000</v>
      </c>
      <c r="Q230" s="69">
        <v>76000</v>
      </c>
      <c r="R230" s="69">
        <v>59000</v>
      </c>
      <c r="S230" s="62" t="s">
        <v>145</v>
      </c>
      <c r="T230" s="8">
        <f t="shared" si="9"/>
        <v>27</v>
      </c>
      <c r="U230" s="8">
        <v>0</v>
      </c>
      <c r="V230" s="8">
        <v>0</v>
      </c>
      <c r="W230" s="8">
        <v>0</v>
      </c>
      <c r="X230" s="8">
        <v>1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62" t="s">
        <v>132</v>
      </c>
      <c r="AL230" s="62" t="s">
        <v>50</v>
      </c>
      <c r="AM230" s="62" t="s">
        <v>51</v>
      </c>
      <c r="AN230" s="5"/>
      <c r="AO230" s="7"/>
    </row>
    <row r="231" spans="1:41" ht="15.75" customHeight="1" x14ac:dyDescent="0.25">
      <c r="A231" s="4">
        <v>230</v>
      </c>
      <c r="B231" s="5" t="s">
        <v>39</v>
      </c>
      <c r="C231" s="58">
        <v>3.5</v>
      </c>
      <c r="D231" s="61" t="s">
        <v>713</v>
      </c>
      <c r="E231" s="72" t="s">
        <v>324</v>
      </c>
      <c r="F231" s="62" t="s">
        <v>364</v>
      </c>
      <c r="G231" s="8" t="s">
        <v>88</v>
      </c>
      <c r="H231" s="8">
        <v>2019</v>
      </c>
      <c r="I231" s="62" t="s">
        <v>44</v>
      </c>
      <c r="J231" s="62" t="s">
        <v>213</v>
      </c>
      <c r="K231" s="62" t="s">
        <v>111</v>
      </c>
      <c r="L231" s="62" t="s">
        <v>101</v>
      </c>
      <c r="M231" s="62" t="s">
        <v>47</v>
      </c>
      <c r="N231" s="5">
        <v>0</v>
      </c>
      <c r="O231" s="8">
        <v>0</v>
      </c>
      <c r="P231" s="69">
        <v>66000</v>
      </c>
      <c r="Q231" s="69">
        <v>111000</v>
      </c>
      <c r="R231" s="69">
        <v>88500</v>
      </c>
      <c r="S231" s="62" t="s">
        <v>326</v>
      </c>
      <c r="T231" s="8">
        <f t="shared" si="9"/>
        <v>4</v>
      </c>
      <c r="U231" s="8">
        <v>0</v>
      </c>
      <c r="V231" s="8">
        <v>0</v>
      </c>
      <c r="W231" s="8">
        <v>1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62" t="s">
        <v>49</v>
      </c>
      <c r="AL231" s="62" t="s">
        <v>50</v>
      </c>
      <c r="AM231" s="62" t="s">
        <v>51</v>
      </c>
      <c r="AN231" s="5"/>
      <c r="AO231" s="7"/>
    </row>
    <row r="232" spans="1:41" ht="15.75" customHeight="1" x14ac:dyDescent="0.25">
      <c r="A232" s="4">
        <v>231</v>
      </c>
      <c r="B232" s="5" t="s">
        <v>564</v>
      </c>
      <c r="C232" s="58">
        <v>4.2</v>
      </c>
      <c r="D232" s="61" t="s">
        <v>520</v>
      </c>
      <c r="E232" s="72" t="s">
        <v>521</v>
      </c>
      <c r="F232" s="62" t="s">
        <v>522</v>
      </c>
      <c r="G232" s="8" t="s">
        <v>56</v>
      </c>
      <c r="H232" s="8" t="s">
        <v>47</v>
      </c>
      <c r="I232" s="62" t="s">
        <v>160</v>
      </c>
      <c r="J232" s="62" t="s">
        <v>523</v>
      </c>
      <c r="K232" s="62" t="s">
        <v>524</v>
      </c>
      <c r="L232" s="62" t="s">
        <v>83</v>
      </c>
      <c r="M232" s="62" t="s">
        <v>47</v>
      </c>
      <c r="N232" s="5">
        <v>0</v>
      </c>
      <c r="O232" s="8">
        <v>0</v>
      </c>
      <c r="P232" s="69">
        <v>74000</v>
      </c>
      <c r="Q232" s="69">
        <v>140000</v>
      </c>
      <c r="R232" s="69">
        <v>107000</v>
      </c>
      <c r="S232" s="62" t="s">
        <v>525</v>
      </c>
      <c r="T232" s="8" t="s">
        <v>47</v>
      </c>
      <c r="U232" s="8">
        <v>0</v>
      </c>
      <c r="V232" s="8">
        <v>0</v>
      </c>
      <c r="W232" s="8">
        <v>0</v>
      </c>
      <c r="X232" s="8">
        <v>1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62" t="s">
        <v>146</v>
      </c>
      <c r="AL232" s="62" t="s">
        <v>50</v>
      </c>
      <c r="AM232" s="62" t="s">
        <v>51</v>
      </c>
      <c r="AN232" s="5"/>
      <c r="AO232" s="7"/>
    </row>
    <row r="233" spans="1:41" ht="15.75" customHeight="1" x14ac:dyDescent="0.25">
      <c r="A233" s="4">
        <v>232</v>
      </c>
      <c r="B233" s="5" t="s">
        <v>185</v>
      </c>
      <c r="C233" s="58">
        <v>4</v>
      </c>
      <c r="D233" s="61" t="s">
        <v>186</v>
      </c>
      <c r="E233" s="72" t="s">
        <v>134</v>
      </c>
      <c r="F233" s="62" t="s">
        <v>80</v>
      </c>
      <c r="G233" s="8" t="s">
        <v>56</v>
      </c>
      <c r="H233" s="8">
        <v>1849</v>
      </c>
      <c r="I233" s="62" t="s">
        <v>89</v>
      </c>
      <c r="J233" s="62" t="s">
        <v>136</v>
      </c>
      <c r="K233" s="62" t="s">
        <v>136</v>
      </c>
      <c r="L233" s="62" t="s">
        <v>128</v>
      </c>
      <c r="M233" s="62" t="s">
        <v>47</v>
      </c>
      <c r="N233" s="5">
        <v>0</v>
      </c>
      <c r="O233" s="8">
        <v>0</v>
      </c>
      <c r="P233" s="69">
        <v>63000</v>
      </c>
      <c r="Q233" s="69">
        <v>110000</v>
      </c>
      <c r="R233" s="69">
        <v>86500</v>
      </c>
      <c r="S233" s="62" t="s">
        <v>138</v>
      </c>
      <c r="T233" s="8">
        <f t="shared" ref="T233:T257" si="10">2023-H233</f>
        <v>174</v>
      </c>
      <c r="U233" s="8">
        <v>1</v>
      </c>
      <c r="V233" s="8">
        <v>0</v>
      </c>
      <c r="W233" s="8">
        <v>1</v>
      </c>
      <c r="X233" s="8">
        <v>1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62" t="s">
        <v>49</v>
      </c>
      <c r="AL233" s="62" t="s">
        <v>50</v>
      </c>
      <c r="AM233" s="62" t="s">
        <v>77</v>
      </c>
      <c r="AN233" s="5"/>
      <c r="AO233" s="7"/>
    </row>
    <row r="234" spans="1:41" ht="15.75" customHeight="1" x14ac:dyDescent="0.25">
      <c r="A234" s="4">
        <v>233</v>
      </c>
      <c r="B234" s="5" t="s">
        <v>39</v>
      </c>
      <c r="C234" s="58">
        <v>4.3</v>
      </c>
      <c r="D234" s="61" t="s">
        <v>177</v>
      </c>
      <c r="E234" s="72" t="s">
        <v>178</v>
      </c>
      <c r="F234" s="62" t="s">
        <v>179</v>
      </c>
      <c r="G234" s="8" t="s">
        <v>81</v>
      </c>
      <c r="H234" s="8">
        <v>1935</v>
      </c>
      <c r="I234" s="62" t="s">
        <v>160</v>
      </c>
      <c r="J234" s="62" t="s">
        <v>174</v>
      </c>
      <c r="K234" s="62" t="s">
        <v>175</v>
      </c>
      <c r="L234" s="62" t="s">
        <v>180</v>
      </c>
      <c r="M234" s="62" t="s">
        <v>47</v>
      </c>
      <c r="N234" s="5">
        <v>0</v>
      </c>
      <c r="O234" s="8">
        <v>0</v>
      </c>
      <c r="P234" s="69">
        <v>63000</v>
      </c>
      <c r="Q234" s="69">
        <v>105000</v>
      </c>
      <c r="R234" s="69">
        <v>84000</v>
      </c>
      <c r="S234" s="62" t="s">
        <v>181</v>
      </c>
      <c r="T234" s="8">
        <f t="shared" si="10"/>
        <v>88</v>
      </c>
      <c r="U234" s="8">
        <v>1</v>
      </c>
      <c r="V234" s="8">
        <v>0</v>
      </c>
      <c r="W234" s="8">
        <v>0</v>
      </c>
      <c r="X234" s="8">
        <v>1</v>
      </c>
      <c r="Y234" s="8">
        <v>1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1</v>
      </c>
      <c r="AG234" s="8">
        <v>0</v>
      </c>
      <c r="AH234" s="8">
        <v>0</v>
      </c>
      <c r="AI234" s="8">
        <v>0</v>
      </c>
      <c r="AJ234" s="8">
        <v>0</v>
      </c>
      <c r="AK234" s="62" t="s">
        <v>49</v>
      </c>
      <c r="AL234" s="62" t="s">
        <v>50</v>
      </c>
      <c r="AM234" s="62" t="s">
        <v>51</v>
      </c>
      <c r="AN234" s="5"/>
      <c r="AO234" s="7"/>
    </row>
    <row r="235" spans="1:41" ht="15.75" customHeight="1" x14ac:dyDescent="0.25">
      <c r="A235" s="4">
        <v>234</v>
      </c>
      <c r="B235" s="5" t="s">
        <v>714</v>
      </c>
      <c r="C235" s="58">
        <v>4.7</v>
      </c>
      <c r="D235" s="61" t="s">
        <v>715</v>
      </c>
      <c r="E235" s="72" t="s">
        <v>79</v>
      </c>
      <c r="F235" s="62" t="s">
        <v>290</v>
      </c>
      <c r="G235" s="8" t="s">
        <v>88</v>
      </c>
      <c r="H235" s="8">
        <v>1992</v>
      </c>
      <c r="I235" s="62" t="s">
        <v>44</v>
      </c>
      <c r="J235" s="62" t="s">
        <v>100</v>
      </c>
      <c r="K235" s="62" t="s">
        <v>65</v>
      </c>
      <c r="L235" s="62" t="s">
        <v>46</v>
      </c>
      <c r="M235" s="62" t="s">
        <v>47</v>
      </c>
      <c r="N235" s="5">
        <v>0</v>
      </c>
      <c r="O235" s="8">
        <v>0</v>
      </c>
      <c r="P235" s="69">
        <v>91000</v>
      </c>
      <c r="Q235" s="69">
        <v>138000</v>
      </c>
      <c r="R235" s="69">
        <v>114500</v>
      </c>
      <c r="S235" s="62" t="s">
        <v>85</v>
      </c>
      <c r="T235" s="8">
        <f t="shared" si="10"/>
        <v>31</v>
      </c>
      <c r="U235" s="8">
        <v>1</v>
      </c>
      <c r="V235" s="8">
        <v>0</v>
      </c>
      <c r="W235" s="8">
        <v>0</v>
      </c>
      <c r="X235" s="8">
        <v>1</v>
      </c>
      <c r="Y235" s="8">
        <v>1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1</v>
      </c>
      <c r="AG235" s="8">
        <v>0</v>
      </c>
      <c r="AH235" s="8">
        <v>0</v>
      </c>
      <c r="AI235" s="8">
        <v>0</v>
      </c>
      <c r="AJ235" s="8">
        <v>0</v>
      </c>
      <c r="AK235" s="62" t="s">
        <v>1291</v>
      </c>
      <c r="AL235" s="62" t="s">
        <v>50</v>
      </c>
      <c r="AM235" s="62" t="s">
        <v>51</v>
      </c>
      <c r="AN235" s="5"/>
      <c r="AO235" s="7"/>
    </row>
    <row r="236" spans="1:41" ht="15.75" customHeight="1" x14ac:dyDescent="0.25">
      <c r="A236" s="4">
        <v>235</v>
      </c>
      <c r="B236" s="5" t="s">
        <v>565</v>
      </c>
      <c r="C236" s="58">
        <v>3.5</v>
      </c>
      <c r="D236" s="61" t="s">
        <v>566</v>
      </c>
      <c r="E236" s="72" t="s">
        <v>231</v>
      </c>
      <c r="F236" s="62" t="s">
        <v>231</v>
      </c>
      <c r="G236" s="8" t="s">
        <v>70</v>
      </c>
      <c r="H236" s="8">
        <v>2010</v>
      </c>
      <c r="I236" s="62" t="s">
        <v>44</v>
      </c>
      <c r="J236" s="62" t="s">
        <v>136</v>
      </c>
      <c r="K236" s="62" t="s">
        <v>136</v>
      </c>
      <c r="L236" s="62" t="s">
        <v>91</v>
      </c>
      <c r="M236" s="62" t="s">
        <v>567</v>
      </c>
      <c r="N236" s="5">
        <v>0</v>
      </c>
      <c r="O236" s="8">
        <v>0</v>
      </c>
      <c r="P236" s="69">
        <v>100000</v>
      </c>
      <c r="Q236" s="69">
        <v>190000</v>
      </c>
      <c r="R236" s="69">
        <v>145000</v>
      </c>
      <c r="S236" s="62" t="s">
        <v>138</v>
      </c>
      <c r="T236" s="8">
        <f t="shared" si="10"/>
        <v>13</v>
      </c>
      <c r="U236" s="8">
        <v>1</v>
      </c>
      <c r="V236" s="8">
        <v>0</v>
      </c>
      <c r="W236" s="8">
        <v>0</v>
      </c>
      <c r="X236" s="8">
        <v>1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62" t="s">
        <v>107</v>
      </c>
      <c r="AL236" s="62" t="s">
        <v>169</v>
      </c>
      <c r="AM236" s="62" t="s">
        <v>108</v>
      </c>
      <c r="AN236" s="5"/>
      <c r="AO236" s="7"/>
    </row>
    <row r="237" spans="1:41" ht="15.75" customHeight="1" x14ac:dyDescent="0.25">
      <c r="A237" s="4">
        <v>236</v>
      </c>
      <c r="B237" s="5" t="s">
        <v>224</v>
      </c>
      <c r="C237" s="58">
        <v>4.4000000000000004</v>
      </c>
      <c r="D237" s="61" t="s">
        <v>716</v>
      </c>
      <c r="E237" s="72" t="s">
        <v>717</v>
      </c>
      <c r="F237" s="62" t="s">
        <v>114</v>
      </c>
      <c r="G237" s="8" t="s">
        <v>70</v>
      </c>
      <c r="H237" s="8">
        <v>2006</v>
      </c>
      <c r="I237" s="62" t="s">
        <v>89</v>
      </c>
      <c r="J237" s="62" t="s">
        <v>110</v>
      </c>
      <c r="K237" s="62" t="s">
        <v>111</v>
      </c>
      <c r="L237" s="62" t="s">
        <v>66</v>
      </c>
      <c r="M237" s="62" t="s">
        <v>718</v>
      </c>
      <c r="N237" s="5">
        <v>0</v>
      </c>
      <c r="O237" s="8">
        <v>0</v>
      </c>
      <c r="P237" s="69">
        <v>62000</v>
      </c>
      <c r="Q237" s="69">
        <v>114000</v>
      </c>
      <c r="R237" s="69">
        <v>88000</v>
      </c>
      <c r="S237" s="62" t="s">
        <v>542</v>
      </c>
      <c r="T237" s="8">
        <f t="shared" si="10"/>
        <v>17</v>
      </c>
      <c r="U237" s="8">
        <v>1</v>
      </c>
      <c r="V237" s="8">
        <v>1</v>
      </c>
      <c r="W237" s="8">
        <v>1</v>
      </c>
      <c r="X237" s="8">
        <v>1</v>
      </c>
      <c r="Y237" s="8">
        <v>1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1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62" t="s">
        <v>146</v>
      </c>
      <c r="AL237" s="62" t="s">
        <v>50</v>
      </c>
      <c r="AM237" s="62" t="s">
        <v>77</v>
      </c>
      <c r="AN237" s="5"/>
      <c r="AO237" s="7"/>
    </row>
    <row r="238" spans="1:41" ht="15.75" customHeight="1" x14ac:dyDescent="0.25">
      <c r="A238" s="4">
        <v>237</v>
      </c>
      <c r="B238" s="5" t="s">
        <v>719</v>
      </c>
      <c r="C238" s="58">
        <v>4.0999999999999996</v>
      </c>
      <c r="D238" s="61" t="s">
        <v>720</v>
      </c>
      <c r="E238" s="72" t="s">
        <v>172</v>
      </c>
      <c r="F238" s="62" t="s">
        <v>172</v>
      </c>
      <c r="G238" s="8" t="s">
        <v>43</v>
      </c>
      <c r="H238" s="8">
        <v>2001</v>
      </c>
      <c r="I238" s="62" t="s">
        <v>44</v>
      </c>
      <c r="J238" s="62" t="s">
        <v>110</v>
      </c>
      <c r="K238" s="62" t="s">
        <v>111</v>
      </c>
      <c r="L238" s="62" t="s">
        <v>66</v>
      </c>
      <c r="M238" s="62" t="s">
        <v>721</v>
      </c>
      <c r="N238" s="5">
        <v>0</v>
      </c>
      <c r="O238" s="8">
        <v>0</v>
      </c>
      <c r="P238" s="69">
        <v>71000</v>
      </c>
      <c r="Q238" s="69">
        <v>129000</v>
      </c>
      <c r="R238" s="69">
        <v>100000</v>
      </c>
      <c r="S238" s="62" t="s">
        <v>176</v>
      </c>
      <c r="T238" s="8">
        <f t="shared" si="10"/>
        <v>22</v>
      </c>
      <c r="U238" s="8">
        <v>1</v>
      </c>
      <c r="V238" s="8">
        <v>1</v>
      </c>
      <c r="W238" s="8">
        <v>1</v>
      </c>
      <c r="X238" s="8">
        <v>0</v>
      </c>
      <c r="Y238" s="8">
        <v>1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1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62" t="s">
        <v>146</v>
      </c>
      <c r="AL238" s="62" t="s">
        <v>50</v>
      </c>
      <c r="AM238" s="62" t="s">
        <v>77</v>
      </c>
      <c r="AN238" s="5"/>
      <c r="AO238" s="7"/>
    </row>
    <row r="239" spans="1:41" ht="15.75" customHeight="1" x14ac:dyDescent="0.25">
      <c r="A239" s="4">
        <v>238</v>
      </c>
      <c r="B239" s="5" t="s">
        <v>433</v>
      </c>
      <c r="C239" s="58">
        <v>2.9</v>
      </c>
      <c r="D239" s="61" t="s">
        <v>568</v>
      </c>
      <c r="E239" s="72" t="s">
        <v>119</v>
      </c>
      <c r="F239" s="62" t="s">
        <v>119</v>
      </c>
      <c r="G239" s="8" t="s">
        <v>88</v>
      </c>
      <c r="H239" s="8">
        <v>1993</v>
      </c>
      <c r="I239" s="62" t="s">
        <v>160</v>
      </c>
      <c r="J239" s="62" t="s">
        <v>532</v>
      </c>
      <c r="K239" s="62" t="s">
        <v>415</v>
      </c>
      <c r="L239" s="62" t="s">
        <v>101</v>
      </c>
      <c r="M239" s="62" t="s">
        <v>569</v>
      </c>
      <c r="N239" s="5">
        <v>0</v>
      </c>
      <c r="O239" s="8">
        <v>0</v>
      </c>
      <c r="P239" s="69">
        <v>43000</v>
      </c>
      <c r="Q239" s="69">
        <v>80000</v>
      </c>
      <c r="R239" s="69">
        <v>61500</v>
      </c>
      <c r="S239" s="62" t="s">
        <v>122</v>
      </c>
      <c r="T239" s="8">
        <f t="shared" si="10"/>
        <v>30</v>
      </c>
      <c r="U239" s="8">
        <v>1</v>
      </c>
      <c r="V239" s="8">
        <v>0</v>
      </c>
      <c r="W239" s="8">
        <v>0</v>
      </c>
      <c r="X239" s="8">
        <v>1</v>
      </c>
      <c r="Y239" s="8">
        <v>1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1</v>
      </c>
      <c r="AG239" s="8">
        <v>1</v>
      </c>
      <c r="AH239" s="8">
        <v>0</v>
      </c>
      <c r="AI239" s="8">
        <v>0</v>
      </c>
      <c r="AJ239" s="8">
        <v>0</v>
      </c>
      <c r="AK239" s="62" t="s">
        <v>132</v>
      </c>
      <c r="AL239" s="62" t="s">
        <v>169</v>
      </c>
      <c r="AM239" s="62" t="s">
        <v>51</v>
      </c>
      <c r="AN239" s="5"/>
      <c r="AO239" s="7"/>
    </row>
    <row r="240" spans="1:41" ht="15.75" customHeight="1" x14ac:dyDescent="0.25">
      <c r="A240" s="4">
        <v>239</v>
      </c>
      <c r="B240" s="5" t="s">
        <v>39</v>
      </c>
      <c r="C240" s="58">
        <v>2.5</v>
      </c>
      <c r="D240" s="61" t="s">
        <v>722</v>
      </c>
      <c r="E240" s="72" t="s">
        <v>723</v>
      </c>
      <c r="F240" s="62" t="s">
        <v>339</v>
      </c>
      <c r="G240" s="8" t="s">
        <v>70</v>
      </c>
      <c r="H240" s="8">
        <v>1999</v>
      </c>
      <c r="I240" s="62" t="s">
        <v>89</v>
      </c>
      <c r="J240" s="62" t="s">
        <v>82</v>
      </c>
      <c r="K240" s="62" t="s">
        <v>65</v>
      </c>
      <c r="L240" s="62" t="s">
        <v>91</v>
      </c>
      <c r="M240" s="62" t="s">
        <v>724</v>
      </c>
      <c r="N240" s="5">
        <v>0</v>
      </c>
      <c r="O240" s="8">
        <v>0</v>
      </c>
      <c r="P240" s="69">
        <v>74000</v>
      </c>
      <c r="Q240" s="69">
        <v>119000</v>
      </c>
      <c r="R240" s="69">
        <v>96500</v>
      </c>
      <c r="S240" s="62" t="s">
        <v>190</v>
      </c>
      <c r="T240" s="8">
        <f t="shared" si="10"/>
        <v>24</v>
      </c>
      <c r="U240" s="8">
        <v>1</v>
      </c>
      <c r="V240" s="8">
        <v>1</v>
      </c>
      <c r="W240" s="8">
        <v>0</v>
      </c>
      <c r="X240" s="8">
        <v>0</v>
      </c>
      <c r="Y240" s="8">
        <v>1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62" t="s">
        <v>49</v>
      </c>
      <c r="AL240" s="62" t="s">
        <v>50</v>
      </c>
      <c r="AM240" s="62" t="s">
        <v>77</v>
      </c>
      <c r="AN240" s="5"/>
      <c r="AO240" s="7"/>
    </row>
    <row r="241" spans="1:41" ht="15.75" customHeight="1" x14ac:dyDescent="0.25">
      <c r="A241" s="4">
        <v>240</v>
      </c>
      <c r="B241" s="5" t="s">
        <v>725</v>
      </c>
      <c r="C241" s="58">
        <v>4.2</v>
      </c>
      <c r="D241" s="61" t="s">
        <v>726</v>
      </c>
      <c r="E241" s="72" t="s">
        <v>456</v>
      </c>
      <c r="F241" s="62" t="s">
        <v>172</v>
      </c>
      <c r="G241" s="8" t="s">
        <v>88</v>
      </c>
      <c r="H241" s="8">
        <v>1992</v>
      </c>
      <c r="I241" s="62" t="s">
        <v>44</v>
      </c>
      <c r="J241" s="62" t="s">
        <v>100</v>
      </c>
      <c r="K241" s="62" t="s">
        <v>65</v>
      </c>
      <c r="L241" s="62" t="s">
        <v>83</v>
      </c>
      <c r="M241" s="62" t="s">
        <v>727</v>
      </c>
      <c r="N241" s="5">
        <v>0</v>
      </c>
      <c r="O241" s="8">
        <v>0</v>
      </c>
      <c r="P241" s="69">
        <v>55000</v>
      </c>
      <c r="Q241" s="69">
        <v>97000</v>
      </c>
      <c r="R241" s="69">
        <v>76000</v>
      </c>
      <c r="S241" s="62" t="s">
        <v>458</v>
      </c>
      <c r="T241" s="8">
        <f t="shared" si="10"/>
        <v>31</v>
      </c>
      <c r="U241" s="8">
        <v>1</v>
      </c>
      <c r="V241" s="8">
        <v>0</v>
      </c>
      <c r="W241" s="8">
        <v>0</v>
      </c>
      <c r="X241" s="8">
        <v>1</v>
      </c>
      <c r="Y241" s="8">
        <v>1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62" t="s">
        <v>132</v>
      </c>
      <c r="AL241" s="62" t="s">
        <v>50</v>
      </c>
      <c r="AM241" s="62" t="s">
        <v>77</v>
      </c>
      <c r="AN241" s="5"/>
      <c r="AO241" s="7"/>
    </row>
    <row r="242" spans="1:41" ht="15.75" customHeight="1" x14ac:dyDescent="0.25">
      <c r="A242" s="4">
        <v>241</v>
      </c>
      <c r="B242" s="5" t="s">
        <v>39</v>
      </c>
      <c r="C242" s="58">
        <v>3.9</v>
      </c>
      <c r="D242" s="61" t="s">
        <v>728</v>
      </c>
      <c r="E242" s="72" t="s">
        <v>729</v>
      </c>
      <c r="F242" s="62" t="s">
        <v>730</v>
      </c>
      <c r="G242" s="8" t="s">
        <v>70</v>
      </c>
      <c r="H242" s="8">
        <v>1966</v>
      </c>
      <c r="I242" s="62" t="s">
        <v>44</v>
      </c>
      <c r="J242" s="62" t="s">
        <v>121</v>
      </c>
      <c r="K242" s="62" t="s">
        <v>65</v>
      </c>
      <c r="L242" s="62" t="s">
        <v>66</v>
      </c>
      <c r="M242" s="62" t="s">
        <v>47</v>
      </c>
      <c r="N242" s="5">
        <v>0</v>
      </c>
      <c r="O242" s="8">
        <v>0</v>
      </c>
      <c r="P242" s="69">
        <v>15000</v>
      </c>
      <c r="Q242" s="69">
        <v>16000</v>
      </c>
      <c r="R242" s="69">
        <v>15500</v>
      </c>
      <c r="S242" s="62" t="s">
        <v>85</v>
      </c>
      <c r="T242" s="8">
        <f t="shared" si="10"/>
        <v>57</v>
      </c>
      <c r="U242" s="8">
        <v>0</v>
      </c>
      <c r="V242" s="8">
        <v>0</v>
      </c>
      <c r="W242" s="8">
        <v>0</v>
      </c>
      <c r="X242" s="8">
        <v>1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62" t="s">
        <v>49</v>
      </c>
      <c r="AL242" s="62" t="s">
        <v>50</v>
      </c>
      <c r="AM242" s="62" t="s">
        <v>77</v>
      </c>
      <c r="AN242" s="5"/>
      <c r="AO242" s="7"/>
    </row>
    <row r="243" spans="1:41" ht="15.75" customHeight="1" x14ac:dyDescent="0.25">
      <c r="A243" s="4">
        <v>242</v>
      </c>
      <c r="B243" s="5" t="s">
        <v>39</v>
      </c>
      <c r="C243" s="58">
        <v>4.3</v>
      </c>
      <c r="D243" s="61" t="s">
        <v>731</v>
      </c>
      <c r="E243" s="72" t="s">
        <v>732</v>
      </c>
      <c r="F243" s="62" t="s">
        <v>732</v>
      </c>
      <c r="G243" s="8">
        <v>500</v>
      </c>
      <c r="H243" s="8">
        <v>2010</v>
      </c>
      <c r="I243" s="62" t="s">
        <v>44</v>
      </c>
      <c r="J243" s="62" t="s">
        <v>82</v>
      </c>
      <c r="K243" s="62" t="s">
        <v>65</v>
      </c>
      <c r="L243" s="62" t="s">
        <v>83</v>
      </c>
      <c r="M243" s="62" t="s">
        <v>47</v>
      </c>
      <c r="N243" s="5">
        <v>0</v>
      </c>
      <c r="O243" s="8">
        <v>0</v>
      </c>
      <c r="P243" s="69">
        <v>61000</v>
      </c>
      <c r="Q243" s="69">
        <v>106000</v>
      </c>
      <c r="R243" s="69">
        <v>83500</v>
      </c>
      <c r="S243" s="62" t="s">
        <v>93</v>
      </c>
      <c r="T243" s="8">
        <f t="shared" si="10"/>
        <v>13</v>
      </c>
      <c r="U243" s="8">
        <v>1</v>
      </c>
      <c r="V243" s="8">
        <v>0</v>
      </c>
      <c r="W243" s="8">
        <v>0</v>
      </c>
      <c r="X243" s="8">
        <v>1</v>
      </c>
      <c r="Y243" s="8">
        <v>1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1</v>
      </c>
      <c r="AK243" s="62" t="s">
        <v>49</v>
      </c>
      <c r="AL243" s="62" t="s">
        <v>50</v>
      </c>
      <c r="AM243" s="62" t="s">
        <v>77</v>
      </c>
      <c r="AN243" s="5"/>
      <c r="AO243" s="7"/>
    </row>
    <row r="244" spans="1:41" ht="15.75" customHeight="1" x14ac:dyDescent="0.25">
      <c r="A244" s="4">
        <v>243</v>
      </c>
      <c r="B244" s="5" t="s">
        <v>574</v>
      </c>
      <c r="C244" s="58">
        <v>2.7</v>
      </c>
      <c r="D244" s="61" t="s">
        <v>575</v>
      </c>
      <c r="E244" s="72" t="s">
        <v>576</v>
      </c>
      <c r="F244" s="62" t="s">
        <v>576</v>
      </c>
      <c r="G244" s="8" t="s">
        <v>81</v>
      </c>
      <c r="H244" s="8">
        <v>1951</v>
      </c>
      <c r="I244" s="62" t="s">
        <v>71</v>
      </c>
      <c r="J244" s="62" t="s">
        <v>577</v>
      </c>
      <c r="K244" s="62" t="s">
        <v>96</v>
      </c>
      <c r="L244" s="62" t="s">
        <v>46</v>
      </c>
      <c r="M244" s="62" t="s">
        <v>47</v>
      </c>
      <c r="N244" s="5">
        <v>0</v>
      </c>
      <c r="O244" s="8">
        <v>0</v>
      </c>
      <c r="P244" s="69">
        <v>91000</v>
      </c>
      <c r="Q244" s="69">
        <v>149000</v>
      </c>
      <c r="R244" s="69">
        <v>120000</v>
      </c>
      <c r="S244" s="62" t="s">
        <v>403</v>
      </c>
      <c r="T244" s="8">
        <f t="shared" si="10"/>
        <v>72</v>
      </c>
      <c r="U244" s="8">
        <v>1</v>
      </c>
      <c r="V244" s="8">
        <v>0</v>
      </c>
      <c r="W244" s="8">
        <v>0</v>
      </c>
      <c r="X244" s="8">
        <v>0</v>
      </c>
      <c r="Y244" s="8">
        <v>1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1</v>
      </c>
      <c r="AG244" s="8">
        <v>1</v>
      </c>
      <c r="AH244" s="8">
        <v>0</v>
      </c>
      <c r="AI244" s="8">
        <v>0</v>
      </c>
      <c r="AJ244" s="8">
        <v>0</v>
      </c>
      <c r="AK244" s="62" t="s">
        <v>49</v>
      </c>
      <c r="AL244" s="62" t="s">
        <v>50</v>
      </c>
      <c r="AM244" s="62" t="s">
        <v>77</v>
      </c>
      <c r="AN244" s="5"/>
      <c r="AO244" s="7"/>
    </row>
    <row r="245" spans="1:41" ht="15.75" customHeight="1" x14ac:dyDescent="0.25">
      <c r="A245" s="4">
        <v>244</v>
      </c>
      <c r="B245" s="5" t="s">
        <v>39</v>
      </c>
      <c r="C245" s="58">
        <v>3.9</v>
      </c>
      <c r="D245" s="61" t="s">
        <v>553</v>
      </c>
      <c r="E245" s="72" t="s">
        <v>554</v>
      </c>
      <c r="F245" s="62" t="s">
        <v>555</v>
      </c>
      <c r="G245" s="8" t="s">
        <v>56</v>
      </c>
      <c r="H245" s="8">
        <v>1976</v>
      </c>
      <c r="I245" s="62" t="s">
        <v>142</v>
      </c>
      <c r="J245" s="62" t="s">
        <v>136</v>
      </c>
      <c r="K245" s="62" t="s">
        <v>136</v>
      </c>
      <c r="L245" s="62" t="s">
        <v>128</v>
      </c>
      <c r="M245" s="62" t="s">
        <v>47</v>
      </c>
      <c r="N245" s="5">
        <v>0</v>
      </c>
      <c r="O245" s="8">
        <v>0</v>
      </c>
      <c r="P245" s="69">
        <v>127000</v>
      </c>
      <c r="Q245" s="69">
        <v>199000</v>
      </c>
      <c r="R245" s="69">
        <v>163000</v>
      </c>
      <c r="S245" s="62" t="s">
        <v>102</v>
      </c>
      <c r="T245" s="8">
        <f t="shared" si="10"/>
        <v>47</v>
      </c>
      <c r="U245" s="8">
        <v>0</v>
      </c>
      <c r="V245" s="8">
        <v>0</v>
      </c>
      <c r="W245" s="8">
        <v>0</v>
      </c>
      <c r="X245" s="8">
        <v>1</v>
      </c>
      <c r="Y245" s="8">
        <v>1</v>
      </c>
      <c r="Z245" s="8">
        <v>1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62" t="s">
        <v>49</v>
      </c>
      <c r="AL245" s="62" t="s">
        <v>50</v>
      </c>
      <c r="AM245" s="62" t="s">
        <v>51</v>
      </c>
      <c r="AN245" s="5"/>
      <c r="AO245" s="7"/>
    </row>
    <row r="246" spans="1:41" ht="15.75" customHeight="1" x14ac:dyDescent="0.25">
      <c r="A246" s="4">
        <v>245</v>
      </c>
      <c r="B246" s="5" t="s">
        <v>733</v>
      </c>
      <c r="C246" s="58">
        <v>3.4</v>
      </c>
      <c r="D246" s="61" t="s">
        <v>734</v>
      </c>
      <c r="E246" s="72" t="s">
        <v>735</v>
      </c>
      <c r="F246" s="62" t="s">
        <v>735</v>
      </c>
      <c r="G246" s="8" t="s">
        <v>43</v>
      </c>
      <c r="H246" s="8">
        <v>1939</v>
      </c>
      <c r="I246" s="62" t="s">
        <v>160</v>
      </c>
      <c r="J246" s="62" t="s">
        <v>161</v>
      </c>
      <c r="K246" s="62" t="s">
        <v>162</v>
      </c>
      <c r="L246" s="62" t="s">
        <v>83</v>
      </c>
      <c r="M246" s="62" t="s">
        <v>736</v>
      </c>
      <c r="N246" s="5">
        <v>0</v>
      </c>
      <c r="O246" s="8">
        <v>0</v>
      </c>
      <c r="P246" s="69">
        <v>74000</v>
      </c>
      <c r="Q246" s="69">
        <v>126000</v>
      </c>
      <c r="R246" s="69">
        <v>100000</v>
      </c>
      <c r="S246" s="62" t="s">
        <v>737</v>
      </c>
      <c r="T246" s="8">
        <f t="shared" si="10"/>
        <v>84</v>
      </c>
      <c r="U246" s="8">
        <v>0</v>
      </c>
      <c r="V246" s="8">
        <v>0</v>
      </c>
      <c r="W246" s="8">
        <v>1</v>
      </c>
      <c r="X246" s="8">
        <v>0</v>
      </c>
      <c r="Y246" s="8">
        <v>1</v>
      </c>
      <c r="Z246" s="8">
        <v>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62" t="s">
        <v>132</v>
      </c>
      <c r="AL246" s="62" t="s">
        <v>169</v>
      </c>
      <c r="AM246" s="62" t="s">
        <v>77</v>
      </c>
      <c r="AN246" s="5"/>
      <c r="AO246" s="7"/>
    </row>
    <row r="247" spans="1:41" ht="15.75" customHeight="1" x14ac:dyDescent="0.25">
      <c r="A247" s="4">
        <v>246</v>
      </c>
      <c r="B247" s="5" t="s">
        <v>103</v>
      </c>
      <c r="C247" s="58">
        <v>3.8</v>
      </c>
      <c r="D247" s="61" t="s">
        <v>738</v>
      </c>
      <c r="E247" s="72" t="s">
        <v>253</v>
      </c>
      <c r="F247" s="62" t="s">
        <v>253</v>
      </c>
      <c r="G247" s="8" t="s">
        <v>70</v>
      </c>
      <c r="H247" s="8">
        <v>1917</v>
      </c>
      <c r="I247" s="62" t="s">
        <v>160</v>
      </c>
      <c r="J247" s="62" t="s">
        <v>704</v>
      </c>
      <c r="K247" s="62" t="s">
        <v>524</v>
      </c>
      <c r="L247" s="62" t="s">
        <v>83</v>
      </c>
      <c r="M247" s="62" t="s">
        <v>739</v>
      </c>
      <c r="N247" s="5">
        <v>0</v>
      </c>
      <c r="O247" s="8">
        <v>0</v>
      </c>
      <c r="P247" s="69">
        <v>33000</v>
      </c>
      <c r="Q247" s="69">
        <v>72000</v>
      </c>
      <c r="R247" s="69">
        <v>52500</v>
      </c>
      <c r="S247" s="62" t="s">
        <v>439</v>
      </c>
      <c r="T247" s="8">
        <f t="shared" si="10"/>
        <v>106</v>
      </c>
      <c r="U247" s="8">
        <v>0</v>
      </c>
      <c r="V247" s="8">
        <v>0</v>
      </c>
      <c r="W247" s="8">
        <v>0</v>
      </c>
      <c r="X247" s="8">
        <v>1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62" t="s">
        <v>107</v>
      </c>
      <c r="AL247" s="62" t="s">
        <v>50</v>
      </c>
      <c r="AM247" s="62" t="s">
        <v>108</v>
      </c>
      <c r="AN247" s="5"/>
      <c r="AO247" s="7"/>
    </row>
    <row r="248" spans="1:41" ht="15.75" customHeight="1" x14ac:dyDescent="0.25">
      <c r="A248" s="4">
        <v>247</v>
      </c>
      <c r="B248" s="5" t="s">
        <v>570</v>
      </c>
      <c r="C248" s="58">
        <v>3.6</v>
      </c>
      <c r="D248" s="61" t="s">
        <v>571</v>
      </c>
      <c r="E248" s="72" t="s">
        <v>572</v>
      </c>
      <c r="F248" s="62" t="s">
        <v>573</v>
      </c>
      <c r="G248" s="8" t="s">
        <v>120</v>
      </c>
      <c r="H248" s="8">
        <v>2017</v>
      </c>
      <c r="I248" s="62" t="s">
        <v>160</v>
      </c>
      <c r="J248" s="62" t="s">
        <v>58</v>
      </c>
      <c r="K248" s="62" t="s">
        <v>59</v>
      </c>
      <c r="L248" s="62" t="s">
        <v>83</v>
      </c>
      <c r="M248" s="62" t="s">
        <v>47</v>
      </c>
      <c r="N248" s="5">
        <v>1</v>
      </c>
      <c r="O248" s="8">
        <v>0</v>
      </c>
      <c r="P248" s="69">
        <v>35000</v>
      </c>
      <c r="Q248" s="69">
        <v>49000</v>
      </c>
      <c r="R248" s="69">
        <v>42000</v>
      </c>
      <c r="S248" s="62" t="s">
        <v>305</v>
      </c>
      <c r="T248" s="8">
        <f t="shared" si="10"/>
        <v>6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62" t="s">
        <v>107</v>
      </c>
      <c r="AL248" s="62" t="s">
        <v>50</v>
      </c>
      <c r="AM248" s="62" t="s">
        <v>77</v>
      </c>
      <c r="AN248" s="5"/>
      <c r="AO248" s="7"/>
    </row>
    <row r="249" spans="1:41" ht="15.75" customHeight="1" x14ac:dyDescent="0.25">
      <c r="A249" s="4">
        <v>248</v>
      </c>
      <c r="B249" s="5" t="s">
        <v>740</v>
      </c>
      <c r="C249" s="58">
        <v>3.3</v>
      </c>
      <c r="D249" s="61" t="s">
        <v>741</v>
      </c>
      <c r="E249" s="72" t="s">
        <v>243</v>
      </c>
      <c r="F249" s="62" t="s">
        <v>243</v>
      </c>
      <c r="G249" s="8" t="s">
        <v>43</v>
      </c>
      <c r="H249" s="8">
        <v>1883</v>
      </c>
      <c r="I249" s="62" t="s">
        <v>160</v>
      </c>
      <c r="J249" s="62" t="s">
        <v>58</v>
      </c>
      <c r="K249" s="62" t="s">
        <v>59</v>
      </c>
      <c r="L249" s="62" t="s">
        <v>83</v>
      </c>
      <c r="M249" s="62" t="s">
        <v>47</v>
      </c>
      <c r="N249" s="5">
        <v>0</v>
      </c>
      <c r="O249" s="8">
        <v>0</v>
      </c>
      <c r="P249" s="69">
        <v>37000</v>
      </c>
      <c r="Q249" s="69">
        <v>63000</v>
      </c>
      <c r="R249" s="69">
        <v>50000</v>
      </c>
      <c r="S249" s="62" t="s">
        <v>245</v>
      </c>
      <c r="T249" s="8">
        <f t="shared" si="10"/>
        <v>140</v>
      </c>
      <c r="U249" s="8">
        <v>0</v>
      </c>
      <c r="V249" s="8">
        <v>0</v>
      </c>
      <c r="W249" s="8">
        <v>0</v>
      </c>
      <c r="X249" s="8">
        <v>1</v>
      </c>
      <c r="Y249" s="8">
        <v>1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1</v>
      </c>
      <c r="AG249" s="8">
        <v>1</v>
      </c>
      <c r="AH249" s="8">
        <v>0</v>
      </c>
      <c r="AI249" s="8">
        <v>0</v>
      </c>
      <c r="AJ249" s="8">
        <v>0</v>
      </c>
      <c r="AK249" s="62" t="s">
        <v>132</v>
      </c>
      <c r="AL249" s="62" t="s">
        <v>357</v>
      </c>
      <c r="AM249" s="62" t="s">
        <v>51</v>
      </c>
      <c r="AN249" s="5"/>
      <c r="AO249" s="7"/>
    </row>
    <row r="250" spans="1:41" ht="15.75" customHeight="1" x14ac:dyDescent="0.25">
      <c r="A250" s="4">
        <v>249</v>
      </c>
      <c r="B250" s="5" t="s">
        <v>742</v>
      </c>
      <c r="C250" s="58">
        <v>3.4</v>
      </c>
      <c r="D250" s="61" t="s">
        <v>743</v>
      </c>
      <c r="E250" s="72" t="s">
        <v>732</v>
      </c>
      <c r="F250" s="62" t="s">
        <v>244</v>
      </c>
      <c r="G250" s="8" t="s">
        <v>88</v>
      </c>
      <c r="H250" s="8">
        <v>2006</v>
      </c>
      <c r="I250" s="62" t="s">
        <v>44</v>
      </c>
      <c r="J250" s="62" t="s">
        <v>100</v>
      </c>
      <c r="K250" s="62" t="s">
        <v>65</v>
      </c>
      <c r="L250" s="62" t="s">
        <v>46</v>
      </c>
      <c r="M250" s="62" t="s">
        <v>47</v>
      </c>
      <c r="N250" s="5">
        <v>0</v>
      </c>
      <c r="O250" s="8">
        <v>0</v>
      </c>
      <c r="P250" s="69">
        <v>67000</v>
      </c>
      <c r="Q250" s="69">
        <v>119000</v>
      </c>
      <c r="R250" s="69">
        <v>93000</v>
      </c>
      <c r="S250" s="62" t="s">
        <v>93</v>
      </c>
      <c r="T250" s="8">
        <f t="shared" si="10"/>
        <v>17</v>
      </c>
      <c r="U250" s="8">
        <v>1</v>
      </c>
      <c r="V250" s="8">
        <v>0</v>
      </c>
      <c r="W250" s="8">
        <v>1</v>
      </c>
      <c r="X250" s="8">
        <v>0</v>
      </c>
      <c r="Y250" s="8">
        <v>1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1</v>
      </c>
      <c r="AF250" s="8">
        <v>1</v>
      </c>
      <c r="AG250" s="8">
        <v>1</v>
      </c>
      <c r="AH250" s="8">
        <v>0</v>
      </c>
      <c r="AI250" s="8">
        <v>0</v>
      </c>
      <c r="AJ250" s="8">
        <v>0</v>
      </c>
      <c r="AK250" s="62" t="s">
        <v>146</v>
      </c>
      <c r="AL250" s="62" t="s">
        <v>50</v>
      </c>
      <c r="AM250" s="62" t="s">
        <v>51</v>
      </c>
      <c r="AN250" s="5"/>
      <c r="AO250" s="7"/>
    </row>
    <row r="251" spans="1:41" ht="15.75" customHeight="1" x14ac:dyDescent="0.25">
      <c r="A251" s="4">
        <v>250</v>
      </c>
      <c r="B251" s="5" t="s">
        <v>39</v>
      </c>
      <c r="C251" s="58">
        <v>3</v>
      </c>
      <c r="D251" s="61" t="s">
        <v>744</v>
      </c>
      <c r="E251" s="72" t="s">
        <v>290</v>
      </c>
      <c r="F251" s="62" t="s">
        <v>745</v>
      </c>
      <c r="G251" s="8" t="s">
        <v>70</v>
      </c>
      <c r="H251" s="8">
        <v>1887</v>
      </c>
      <c r="I251" s="62" t="s">
        <v>44</v>
      </c>
      <c r="J251" s="62" t="s">
        <v>168</v>
      </c>
      <c r="K251" s="62" t="s">
        <v>162</v>
      </c>
      <c r="L251" s="62" t="s">
        <v>60</v>
      </c>
      <c r="M251" s="62" t="s">
        <v>47</v>
      </c>
      <c r="N251" s="5">
        <v>0</v>
      </c>
      <c r="O251" s="8">
        <v>0</v>
      </c>
      <c r="P251" s="69">
        <v>72000</v>
      </c>
      <c r="Q251" s="69">
        <v>117000</v>
      </c>
      <c r="R251" s="69">
        <v>94500</v>
      </c>
      <c r="S251" s="62" t="s">
        <v>258</v>
      </c>
      <c r="T251" s="8">
        <f t="shared" si="10"/>
        <v>136</v>
      </c>
      <c r="U251" s="8">
        <v>1</v>
      </c>
      <c r="V251" s="8">
        <v>0</v>
      </c>
      <c r="W251" s="8">
        <v>0</v>
      </c>
      <c r="X251" s="8">
        <v>0</v>
      </c>
      <c r="Y251" s="8">
        <v>1</v>
      </c>
      <c r="Z251" s="8">
        <v>1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62" t="s">
        <v>49</v>
      </c>
      <c r="AL251" s="62" t="s">
        <v>50</v>
      </c>
      <c r="AM251" s="62" t="s">
        <v>77</v>
      </c>
      <c r="AN251" s="5"/>
      <c r="AO251" s="7"/>
    </row>
    <row r="252" spans="1:41" ht="15.75" customHeight="1" x14ac:dyDescent="0.25">
      <c r="A252" s="4">
        <v>251</v>
      </c>
      <c r="B252" s="5" t="s">
        <v>220</v>
      </c>
      <c r="C252" s="58">
        <v>4</v>
      </c>
      <c r="D252" s="61" t="s">
        <v>446</v>
      </c>
      <c r="E252" s="72" t="s">
        <v>98</v>
      </c>
      <c r="F252" s="62" t="s">
        <v>447</v>
      </c>
      <c r="G252" s="8" t="s">
        <v>120</v>
      </c>
      <c r="H252" s="8">
        <v>1982</v>
      </c>
      <c r="I252" s="62" t="s">
        <v>89</v>
      </c>
      <c r="J252" s="62" t="s">
        <v>216</v>
      </c>
      <c r="K252" s="62" t="s">
        <v>111</v>
      </c>
      <c r="L252" s="62" t="s">
        <v>60</v>
      </c>
      <c r="M252" s="62" t="s">
        <v>47</v>
      </c>
      <c r="N252" s="5">
        <v>0</v>
      </c>
      <c r="O252" s="8">
        <v>0</v>
      </c>
      <c r="P252" s="69">
        <v>116000</v>
      </c>
      <c r="Q252" s="69">
        <v>185000</v>
      </c>
      <c r="R252" s="69">
        <v>150500</v>
      </c>
      <c r="S252" s="62" t="s">
        <v>102</v>
      </c>
      <c r="T252" s="8">
        <f t="shared" si="10"/>
        <v>41</v>
      </c>
      <c r="U252" s="8">
        <v>1</v>
      </c>
      <c r="V252" s="8">
        <v>1</v>
      </c>
      <c r="W252" s="8">
        <v>0</v>
      </c>
      <c r="X252" s="8">
        <v>0</v>
      </c>
      <c r="Y252" s="8">
        <v>1</v>
      </c>
      <c r="Z252" s="8">
        <v>1</v>
      </c>
      <c r="AA252" s="8">
        <v>0</v>
      </c>
      <c r="AB252" s="8">
        <v>0</v>
      </c>
      <c r="AC252" s="8">
        <v>1</v>
      </c>
      <c r="AD252" s="8">
        <v>1</v>
      </c>
      <c r="AE252" s="8">
        <v>1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62" t="s">
        <v>49</v>
      </c>
      <c r="AL252" s="62" t="s">
        <v>169</v>
      </c>
      <c r="AM252" s="62" t="s">
        <v>108</v>
      </c>
      <c r="AN252" s="5"/>
      <c r="AO252" s="7"/>
    </row>
    <row r="253" spans="1:41" ht="15.75" customHeight="1" x14ac:dyDescent="0.25">
      <c r="A253" s="4">
        <v>252</v>
      </c>
      <c r="B253" s="5" t="s">
        <v>39</v>
      </c>
      <c r="C253" s="58">
        <v>3.7</v>
      </c>
      <c r="D253" s="61" t="s">
        <v>746</v>
      </c>
      <c r="E253" s="72" t="s">
        <v>747</v>
      </c>
      <c r="F253" s="62" t="s">
        <v>421</v>
      </c>
      <c r="G253" s="8" t="s">
        <v>70</v>
      </c>
      <c r="H253" s="8">
        <v>2004</v>
      </c>
      <c r="I253" s="62" t="s">
        <v>89</v>
      </c>
      <c r="J253" s="62" t="s">
        <v>161</v>
      </c>
      <c r="K253" s="62" t="s">
        <v>162</v>
      </c>
      <c r="L253" s="62" t="s">
        <v>194</v>
      </c>
      <c r="M253" s="62" t="s">
        <v>748</v>
      </c>
      <c r="N253" s="5">
        <v>0</v>
      </c>
      <c r="O253" s="8">
        <v>0</v>
      </c>
      <c r="P253" s="69">
        <v>78000</v>
      </c>
      <c r="Q253" s="69">
        <v>126000</v>
      </c>
      <c r="R253" s="69">
        <v>102000</v>
      </c>
      <c r="S253" s="62" t="s">
        <v>423</v>
      </c>
      <c r="T253" s="8">
        <f t="shared" si="10"/>
        <v>19</v>
      </c>
      <c r="U253" s="8">
        <v>1</v>
      </c>
      <c r="V253" s="8">
        <v>1</v>
      </c>
      <c r="W253" s="8">
        <v>1</v>
      </c>
      <c r="X253" s="8">
        <v>1</v>
      </c>
      <c r="Y253" s="8">
        <v>1</v>
      </c>
      <c r="Z253" s="8">
        <v>1</v>
      </c>
      <c r="AA253" s="8">
        <v>0</v>
      </c>
      <c r="AB253" s="8">
        <v>0</v>
      </c>
      <c r="AC253" s="8">
        <v>1</v>
      </c>
      <c r="AD253" s="8">
        <v>0</v>
      </c>
      <c r="AE253" s="8">
        <v>1</v>
      </c>
      <c r="AF253" s="8">
        <v>1</v>
      </c>
      <c r="AG253" s="8">
        <v>0</v>
      </c>
      <c r="AH253" s="8">
        <v>0</v>
      </c>
      <c r="AI253" s="8">
        <v>0</v>
      </c>
      <c r="AJ253" s="8">
        <v>0</v>
      </c>
      <c r="AK253" s="62" t="s">
        <v>49</v>
      </c>
      <c r="AL253" s="62" t="s">
        <v>50</v>
      </c>
      <c r="AM253" s="62" t="s">
        <v>51</v>
      </c>
      <c r="AN253" s="5"/>
      <c r="AO253" s="7"/>
    </row>
    <row r="254" spans="1:41" ht="15.75" customHeight="1" x14ac:dyDescent="0.25">
      <c r="A254" s="4">
        <v>253</v>
      </c>
      <c r="B254" s="5" t="s">
        <v>578</v>
      </c>
      <c r="C254" s="58">
        <v>4.4000000000000004</v>
      </c>
      <c r="D254" s="61" t="s">
        <v>579</v>
      </c>
      <c r="E254" s="72" t="s">
        <v>134</v>
      </c>
      <c r="F254" s="62" t="s">
        <v>134</v>
      </c>
      <c r="G254" s="8" t="s">
        <v>88</v>
      </c>
      <c r="H254" s="8">
        <v>2013</v>
      </c>
      <c r="I254" s="62" t="s">
        <v>89</v>
      </c>
      <c r="J254" s="62" t="s">
        <v>136</v>
      </c>
      <c r="K254" s="62" t="s">
        <v>136</v>
      </c>
      <c r="L254" s="62" t="s">
        <v>66</v>
      </c>
      <c r="M254" s="62" t="s">
        <v>47</v>
      </c>
      <c r="N254" s="5">
        <v>0</v>
      </c>
      <c r="O254" s="8">
        <v>0</v>
      </c>
      <c r="P254" s="69">
        <v>42000</v>
      </c>
      <c r="Q254" s="69">
        <v>82000</v>
      </c>
      <c r="R254" s="69">
        <v>62000</v>
      </c>
      <c r="S254" s="62" t="s">
        <v>138</v>
      </c>
      <c r="T254" s="8">
        <f t="shared" si="10"/>
        <v>10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62" t="s">
        <v>107</v>
      </c>
      <c r="AL254" s="62" t="s">
        <v>50</v>
      </c>
      <c r="AM254" s="62" t="s">
        <v>108</v>
      </c>
      <c r="AN254" s="5"/>
      <c r="AO254" s="7"/>
    </row>
    <row r="255" spans="1:41" ht="15.75" customHeight="1" x14ac:dyDescent="0.25">
      <c r="A255" s="4">
        <v>254</v>
      </c>
      <c r="B255" s="5" t="s">
        <v>580</v>
      </c>
      <c r="C255" s="58">
        <v>4.3</v>
      </c>
      <c r="D255" s="61" t="s">
        <v>581</v>
      </c>
      <c r="E255" s="72" t="s">
        <v>582</v>
      </c>
      <c r="F255" s="62" t="s">
        <v>199</v>
      </c>
      <c r="G255" s="8" t="s">
        <v>88</v>
      </c>
      <c r="H255" s="8">
        <v>1967</v>
      </c>
      <c r="I255" s="62" t="s">
        <v>44</v>
      </c>
      <c r="J255" s="62" t="s">
        <v>82</v>
      </c>
      <c r="K255" s="62" t="s">
        <v>65</v>
      </c>
      <c r="L255" s="62" t="s">
        <v>83</v>
      </c>
      <c r="M255" s="62" t="s">
        <v>47</v>
      </c>
      <c r="N255" s="5">
        <v>0</v>
      </c>
      <c r="O255" s="8">
        <v>0</v>
      </c>
      <c r="P255" s="69">
        <v>59000</v>
      </c>
      <c r="Q255" s="69">
        <v>116000</v>
      </c>
      <c r="R255" s="69">
        <v>87500</v>
      </c>
      <c r="S255" s="62" t="s">
        <v>200</v>
      </c>
      <c r="T255" s="8">
        <f t="shared" si="10"/>
        <v>56</v>
      </c>
      <c r="U255" s="8">
        <v>0</v>
      </c>
      <c r="V255" s="8">
        <v>0</v>
      </c>
      <c r="W255" s="8">
        <v>0</v>
      </c>
      <c r="X255" s="8">
        <v>1</v>
      </c>
      <c r="Y255" s="8">
        <v>1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1</v>
      </c>
      <c r="AG255" s="8">
        <v>0</v>
      </c>
      <c r="AH255" s="8">
        <v>0</v>
      </c>
      <c r="AI255" s="8">
        <v>0</v>
      </c>
      <c r="AJ255" s="8">
        <v>0</v>
      </c>
      <c r="AK255" s="62" t="s">
        <v>486</v>
      </c>
      <c r="AL255" s="62" t="s">
        <v>50</v>
      </c>
      <c r="AM255" s="62" t="s">
        <v>77</v>
      </c>
      <c r="AN255" s="5"/>
      <c r="AO255" s="7"/>
    </row>
    <row r="256" spans="1:41" ht="15.75" customHeight="1" x14ac:dyDescent="0.25">
      <c r="A256" s="4">
        <v>255</v>
      </c>
      <c r="B256" s="5" t="s">
        <v>195</v>
      </c>
      <c r="C256" s="58">
        <v>4</v>
      </c>
      <c r="D256" s="61" t="s">
        <v>186</v>
      </c>
      <c r="E256" s="72" t="s">
        <v>196</v>
      </c>
      <c r="F256" s="62" t="s">
        <v>80</v>
      </c>
      <c r="G256" s="8" t="s">
        <v>56</v>
      </c>
      <c r="H256" s="8">
        <v>1849</v>
      </c>
      <c r="I256" s="62" t="s">
        <v>89</v>
      </c>
      <c r="J256" s="62" t="s">
        <v>136</v>
      </c>
      <c r="K256" s="62" t="s">
        <v>136</v>
      </c>
      <c r="L256" s="62" t="s">
        <v>128</v>
      </c>
      <c r="M256" s="62" t="s">
        <v>47</v>
      </c>
      <c r="N256" s="5">
        <v>0</v>
      </c>
      <c r="O256" s="8">
        <v>0</v>
      </c>
      <c r="P256" s="69">
        <v>63000</v>
      </c>
      <c r="Q256" s="69">
        <v>105000</v>
      </c>
      <c r="R256" s="69">
        <v>84000</v>
      </c>
      <c r="S256" s="62" t="s">
        <v>197</v>
      </c>
      <c r="T256" s="8">
        <f t="shared" si="10"/>
        <v>174</v>
      </c>
      <c r="U256" s="8">
        <v>0</v>
      </c>
      <c r="V256" s="8">
        <v>0</v>
      </c>
      <c r="W256" s="8">
        <v>1</v>
      </c>
      <c r="X256" s="8">
        <v>1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62" t="s">
        <v>49</v>
      </c>
      <c r="AL256" s="62" t="s">
        <v>50</v>
      </c>
      <c r="AM256" s="62" t="s">
        <v>51</v>
      </c>
      <c r="AN256" s="5"/>
      <c r="AO256" s="7"/>
    </row>
    <row r="257" spans="1:41" ht="15.75" customHeight="1" x14ac:dyDescent="0.25">
      <c r="A257" s="4">
        <v>256</v>
      </c>
      <c r="B257" s="5" t="s">
        <v>39</v>
      </c>
      <c r="C257" s="58">
        <v>4</v>
      </c>
      <c r="D257" s="61" t="s">
        <v>182</v>
      </c>
      <c r="E257" s="72" t="s">
        <v>119</v>
      </c>
      <c r="F257" s="62" t="s">
        <v>183</v>
      </c>
      <c r="G257" s="8" t="s">
        <v>43</v>
      </c>
      <c r="H257" s="8">
        <v>2012</v>
      </c>
      <c r="I257" s="62" t="s">
        <v>44</v>
      </c>
      <c r="J257" s="62" t="s">
        <v>155</v>
      </c>
      <c r="K257" s="62" t="s">
        <v>111</v>
      </c>
      <c r="L257" s="62" t="s">
        <v>66</v>
      </c>
      <c r="M257" s="62" t="s">
        <v>184</v>
      </c>
      <c r="N257" s="5">
        <v>0</v>
      </c>
      <c r="O257" s="8">
        <v>0</v>
      </c>
      <c r="P257" s="69">
        <v>109000</v>
      </c>
      <c r="Q257" s="69">
        <v>177000</v>
      </c>
      <c r="R257" s="69">
        <v>143000</v>
      </c>
      <c r="S257" s="62" t="s">
        <v>122</v>
      </c>
      <c r="T257" s="8">
        <f t="shared" si="10"/>
        <v>11</v>
      </c>
      <c r="U257" s="8">
        <v>1</v>
      </c>
      <c r="V257" s="8">
        <v>0</v>
      </c>
      <c r="W257" s="8">
        <v>1</v>
      </c>
      <c r="X257" s="8">
        <v>0</v>
      </c>
      <c r="Y257" s="8">
        <v>0</v>
      </c>
      <c r="Z257" s="8">
        <v>0</v>
      </c>
      <c r="AA257" s="8">
        <v>1</v>
      </c>
      <c r="AB257" s="8">
        <v>0</v>
      </c>
      <c r="AC257" s="8">
        <v>0</v>
      </c>
      <c r="AD257" s="8">
        <v>1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62" t="s">
        <v>49</v>
      </c>
      <c r="AL257" s="62" t="s">
        <v>50</v>
      </c>
      <c r="AM257" s="62" t="s">
        <v>77</v>
      </c>
      <c r="AN257" s="5"/>
      <c r="AO257" s="7"/>
    </row>
    <row r="258" spans="1:41" ht="15.75" customHeight="1" x14ac:dyDescent="0.25">
      <c r="A258" s="4">
        <v>257</v>
      </c>
      <c r="B258" s="5" t="s">
        <v>749</v>
      </c>
      <c r="C258" s="58">
        <v>3.2</v>
      </c>
      <c r="D258" s="61" t="s">
        <v>314</v>
      </c>
      <c r="E258" s="72" t="s">
        <v>750</v>
      </c>
      <c r="F258" s="62" t="s">
        <v>316</v>
      </c>
      <c r="G258" s="8">
        <v>500</v>
      </c>
      <c r="H258" s="8" t="s">
        <v>47</v>
      </c>
      <c r="I258" s="62" t="s">
        <v>44</v>
      </c>
      <c r="J258" s="62" t="s">
        <v>317</v>
      </c>
      <c r="K258" s="62" t="s">
        <v>65</v>
      </c>
      <c r="L258" s="62" t="s">
        <v>318</v>
      </c>
      <c r="M258" s="62" t="s">
        <v>47</v>
      </c>
      <c r="N258" s="5">
        <v>0</v>
      </c>
      <c r="O258" s="8">
        <v>0</v>
      </c>
      <c r="P258" s="69">
        <v>116000</v>
      </c>
      <c r="Q258" s="69">
        <v>194000</v>
      </c>
      <c r="R258" s="69">
        <v>155000</v>
      </c>
      <c r="S258" s="62" t="s">
        <v>305</v>
      </c>
      <c r="T258" s="8" t="s">
        <v>47</v>
      </c>
      <c r="U258" s="8">
        <v>1</v>
      </c>
      <c r="V258" s="8">
        <v>1</v>
      </c>
      <c r="W258" s="8">
        <v>1</v>
      </c>
      <c r="X258" s="8">
        <v>1</v>
      </c>
      <c r="Y258" s="8">
        <v>0</v>
      </c>
      <c r="Z258" s="8">
        <v>0</v>
      </c>
      <c r="AA258" s="8">
        <v>0</v>
      </c>
      <c r="AB258" s="8">
        <v>0</v>
      </c>
      <c r="AC258" s="8">
        <v>1</v>
      </c>
      <c r="AD258" s="8">
        <v>0</v>
      </c>
      <c r="AE258" s="8">
        <v>1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62" t="s">
        <v>49</v>
      </c>
      <c r="AL258" s="62" t="s">
        <v>169</v>
      </c>
      <c r="AM258" s="62" t="s">
        <v>51</v>
      </c>
      <c r="AN258" s="5"/>
      <c r="AO258" s="7"/>
    </row>
    <row r="259" spans="1:41" ht="15.75" customHeight="1" x14ac:dyDescent="0.25">
      <c r="A259" s="4">
        <v>258</v>
      </c>
      <c r="B259" s="5" t="s">
        <v>224</v>
      </c>
      <c r="C259" s="58">
        <v>4.2</v>
      </c>
      <c r="D259" s="61" t="s">
        <v>583</v>
      </c>
      <c r="E259" s="72" t="s">
        <v>584</v>
      </c>
      <c r="F259" s="62" t="s">
        <v>585</v>
      </c>
      <c r="G259" s="8" t="s">
        <v>81</v>
      </c>
      <c r="H259" s="8">
        <v>2006</v>
      </c>
      <c r="I259" s="62" t="s">
        <v>89</v>
      </c>
      <c r="J259" s="62" t="s">
        <v>82</v>
      </c>
      <c r="K259" s="62" t="s">
        <v>65</v>
      </c>
      <c r="L259" s="62" t="s">
        <v>101</v>
      </c>
      <c r="M259" s="62" t="s">
        <v>586</v>
      </c>
      <c r="N259" s="5">
        <v>0</v>
      </c>
      <c r="O259" s="8">
        <v>0</v>
      </c>
      <c r="P259" s="69">
        <v>48000</v>
      </c>
      <c r="Q259" s="69">
        <v>95000</v>
      </c>
      <c r="R259" s="69">
        <v>71500</v>
      </c>
      <c r="S259" s="62" t="s">
        <v>67</v>
      </c>
      <c r="T259" s="8">
        <f t="shared" ref="T259:T265" si="11">2023-H259</f>
        <v>17</v>
      </c>
      <c r="U259" s="8">
        <v>1</v>
      </c>
      <c r="V259" s="8">
        <v>1</v>
      </c>
      <c r="W259" s="8">
        <v>1</v>
      </c>
      <c r="X259" s="8">
        <v>1</v>
      </c>
      <c r="Y259" s="8">
        <v>1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1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62" t="s">
        <v>146</v>
      </c>
      <c r="AL259" s="62" t="s">
        <v>50</v>
      </c>
      <c r="AM259" s="62" t="s">
        <v>77</v>
      </c>
      <c r="AN259" s="5"/>
      <c r="AO259" s="7"/>
    </row>
    <row r="260" spans="1:41" ht="15.75" customHeight="1" x14ac:dyDescent="0.25">
      <c r="A260" s="4">
        <v>259</v>
      </c>
      <c r="B260" s="5" t="s">
        <v>39</v>
      </c>
      <c r="C260" s="58">
        <v>3.9</v>
      </c>
      <c r="D260" s="61" t="s">
        <v>751</v>
      </c>
      <c r="E260" s="72" t="s">
        <v>752</v>
      </c>
      <c r="F260" s="62" t="s">
        <v>753</v>
      </c>
      <c r="G260" s="8" t="s">
        <v>81</v>
      </c>
      <c r="H260" s="8">
        <v>2000</v>
      </c>
      <c r="I260" s="62" t="s">
        <v>44</v>
      </c>
      <c r="J260" s="62" t="s">
        <v>161</v>
      </c>
      <c r="K260" s="62" t="s">
        <v>162</v>
      </c>
      <c r="L260" s="62" t="s">
        <v>180</v>
      </c>
      <c r="M260" s="62" t="s">
        <v>47</v>
      </c>
      <c r="N260" s="5">
        <v>0</v>
      </c>
      <c r="O260" s="8">
        <v>0</v>
      </c>
      <c r="P260" s="69">
        <v>83000</v>
      </c>
      <c r="Q260" s="69">
        <v>133000</v>
      </c>
      <c r="R260" s="69">
        <v>108000</v>
      </c>
      <c r="S260" s="62" t="s">
        <v>102</v>
      </c>
      <c r="T260" s="8">
        <f t="shared" si="11"/>
        <v>23</v>
      </c>
      <c r="U260" s="8">
        <v>1</v>
      </c>
      <c r="V260" s="8">
        <v>1</v>
      </c>
      <c r="W260" s="8">
        <v>0</v>
      </c>
      <c r="X260" s="8">
        <v>0</v>
      </c>
      <c r="Y260" s="8">
        <v>1</v>
      </c>
      <c r="Z260" s="8">
        <v>1</v>
      </c>
      <c r="AA260" s="8">
        <v>0</v>
      </c>
      <c r="AB260" s="8">
        <v>1</v>
      </c>
      <c r="AC260" s="8">
        <v>1</v>
      </c>
      <c r="AD260" s="8">
        <v>1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62" t="s">
        <v>49</v>
      </c>
      <c r="AL260" s="62" t="s">
        <v>50</v>
      </c>
      <c r="AM260" s="62" t="s">
        <v>51</v>
      </c>
      <c r="AN260" s="5"/>
      <c r="AO260" s="7"/>
    </row>
    <row r="261" spans="1:41" ht="15.75" customHeight="1" x14ac:dyDescent="0.25">
      <c r="A261" s="4">
        <v>260</v>
      </c>
      <c r="B261" s="5" t="s">
        <v>589</v>
      </c>
      <c r="C261" s="58">
        <v>3.7</v>
      </c>
      <c r="D261" s="61" t="s">
        <v>133</v>
      </c>
      <c r="E261" s="72" t="s">
        <v>98</v>
      </c>
      <c r="F261" s="62" t="s">
        <v>135</v>
      </c>
      <c r="G261" s="8" t="s">
        <v>56</v>
      </c>
      <c r="H261" s="8">
        <v>1781</v>
      </c>
      <c r="I261" s="62" t="s">
        <v>89</v>
      </c>
      <c r="J261" s="62" t="s">
        <v>136</v>
      </c>
      <c r="K261" s="62" t="s">
        <v>136</v>
      </c>
      <c r="L261" s="62" t="s">
        <v>128</v>
      </c>
      <c r="M261" s="62" t="s">
        <v>137</v>
      </c>
      <c r="N261" s="5">
        <v>0</v>
      </c>
      <c r="O261" s="8">
        <v>0</v>
      </c>
      <c r="P261" s="69">
        <v>105000</v>
      </c>
      <c r="Q261" s="69">
        <v>198000</v>
      </c>
      <c r="R261" s="69">
        <v>151500</v>
      </c>
      <c r="S261" s="62" t="s">
        <v>102</v>
      </c>
      <c r="T261" s="8">
        <f t="shared" si="11"/>
        <v>242</v>
      </c>
      <c r="U261" s="8">
        <v>0</v>
      </c>
      <c r="V261" s="8">
        <v>0</v>
      </c>
      <c r="W261" s="8">
        <v>0</v>
      </c>
      <c r="X261" s="8">
        <v>1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62" t="s">
        <v>107</v>
      </c>
      <c r="AL261" s="62" t="s">
        <v>169</v>
      </c>
      <c r="AM261" s="62" t="s">
        <v>51</v>
      </c>
      <c r="AN261" s="5"/>
      <c r="AO261" s="7"/>
    </row>
    <row r="262" spans="1:41" ht="15.75" customHeight="1" x14ac:dyDescent="0.25">
      <c r="A262" s="4">
        <v>261</v>
      </c>
      <c r="B262" s="5" t="s">
        <v>587</v>
      </c>
      <c r="C262" s="58">
        <v>3.6</v>
      </c>
      <c r="D262" s="61" t="s">
        <v>588</v>
      </c>
      <c r="E262" s="72" t="s">
        <v>98</v>
      </c>
      <c r="F262" s="62" t="s">
        <v>447</v>
      </c>
      <c r="G262" s="8" t="s">
        <v>81</v>
      </c>
      <c r="H262" s="8">
        <v>2006</v>
      </c>
      <c r="I262" s="62" t="s">
        <v>142</v>
      </c>
      <c r="J262" s="62" t="s">
        <v>127</v>
      </c>
      <c r="K262" s="62" t="s">
        <v>116</v>
      </c>
      <c r="L262" s="62" t="s">
        <v>66</v>
      </c>
      <c r="M262" s="62" t="s">
        <v>47</v>
      </c>
      <c r="N262" s="5">
        <v>0</v>
      </c>
      <c r="O262" s="8">
        <v>0</v>
      </c>
      <c r="P262" s="69">
        <v>31000</v>
      </c>
      <c r="Q262" s="69">
        <v>72000</v>
      </c>
      <c r="R262" s="69">
        <v>51500</v>
      </c>
      <c r="S262" s="62" t="s">
        <v>102</v>
      </c>
      <c r="T262" s="8">
        <f t="shared" si="11"/>
        <v>17</v>
      </c>
      <c r="U262" s="8">
        <v>0</v>
      </c>
      <c r="V262" s="8">
        <v>0</v>
      </c>
      <c r="W262" s="8">
        <v>0</v>
      </c>
      <c r="X262" s="8">
        <v>1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1</v>
      </c>
      <c r="AK262" s="62" t="s">
        <v>132</v>
      </c>
      <c r="AL262" s="62" t="s">
        <v>50</v>
      </c>
      <c r="AM262" s="62" t="s">
        <v>77</v>
      </c>
      <c r="AN262" s="5"/>
      <c r="AO262" s="7"/>
    </row>
    <row r="263" spans="1:41" ht="15.75" customHeight="1" x14ac:dyDescent="0.25">
      <c r="A263" s="4">
        <v>262</v>
      </c>
      <c r="B263" s="5" t="s">
        <v>592</v>
      </c>
      <c r="C263" s="58">
        <v>3.7</v>
      </c>
      <c r="D263" s="61" t="s">
        <v>133</v>
      </c>
      <c r="E263" s="72" t="s">
        <v>269</v>
      </c>
      <c r="F263" s="62" t="s">
        <v>135</v>
      </c>
      <c r="G263" s="8" t="s">
        <v>56</v>
      </c>
      <c r="H263" s="8">
        <v>1781</v>
      </c>
      <c r="I263" s="62" t="s">
        <v>89</v>
      </c>
      <c r="J263" s="62" t="s">
        <v>136</v>
      </c>
      <c r="K263" s="62" t="s">
        <v>136</v>
      </c>
      <c r="L263" s="62" t="s">
        <v>128</v>
      </c>
      <c r="M263" s="62" t="s">
        <v>137</v>
      </c>
      <c r="N263" s="5">
        <v>0</v>
      </c>
      <c r="O263" s="8">
        <v>0</v>
      </c>
      <c r="P263" s="69">
        <v>98000</v>
      </c>
      <c r="Q263" s="69">
        <v>182000</v>
      </c>
      <c r="R263" s="69">
        <v>140000</v>
      </c>
      <c r="S263" s="62" t="s">
        <v>138</v>
      </c>
      <c r="T263" s="8">
        <f t="shared" si="11"/>
        <v>242</v>
      </c>
      <c r="U263" s="8">
        <v>0</v>
      </c>
      <c r="V263" s="8">
        <v>0</v>
      </c>
      <c r="W263" s="8">
        <v>0</v>
      </c>
      <c r="X263" s="8">
        <v>1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  <c r="AK263" s="62" t="s">
        <v>107</v>
      </c>
      <c r="AL263" s="62" t="s">
        <v>169</v>
      </c>
      <c r="AM263" s="62" t="s">
        <v>51</v>
      </c>
      <c r="AN263" s="5"/>
      <c r="AO263" s="7"/>
    </row>
    <row r="264" spans="1:41" ht="15.75" customHeight="1" x14ac:dyDescent="0.25">
      <c r="A264" s="4">
        <v>263</v>
      </c>
      <c r="B264" s="5" t="s">
        <v>433</v>
      </c>
      <c r="C264" s="58">
        <v>2.8</v>
      </c>
      <c r="D264" s="61" t="s">
        <v>590</v>
      </c>
      <c r="E264" s="72" t="s">
        <v>591</v>
      </c>
      <c r="F264" s="62" t="s">
        <v>591</v>
      </c>
      <c r="G264" s="8" t="s">
        <v>88</v>
      </c>
      <c r="H264" s="8">
        <v>2014</v>
      </c>
      <c r="I264" s="62" t="s">
        <v>44</v>
      </c>
      <c r="J264" s="62" t="s">
        <v>213</v>
      </c>
      <c r="K264" s="62" t="s">
        <v>111</v>
      </c>
      <c r="L264" s="62" t="s">
        <v>83</v>
      </c>
      <c r="M264" s="62" t="s">
        <v>47</v>
      </c>
      <c r="N264" s="5">
        <v>0</v>
      </c>
      <c r="O264" s="8">
        <v>0</v>
      </c>
      <c r="P264" s="69">
        <v>55000</v>
      </c>
      <c r="Q264" s="69">
        <v>100000</v>
      </c>
      <c r="R264" s="69">
        <v>77500</v>
      </c>
      <c r="S264" s="62" t="s">
        <v>145</v>
      </c>
      <c r="T264" s="8">
        <f t="shared" si="11"/>
        <v>9</v>
      </c>
      <c r="U264" s="8">
        <v>1</v>
      </c>
      <c r="V264" s="8">
        <v>0</v>
      </c>
      <c r="W264" s="8">
        <v>0</v>
      </c>
      <c r="X264" s="8">
        <v>1</v>
      </c>
      <c r="Y264" s="8">
        <v>1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1</v>
      </c>
      <c r="AG264" s="8">
        <v>0</v>
      </c>
      <c r="AH264" s="8">
        <v>0</v>
      </c>
      <c r="AI264" s="8">
        <v>0</v>
      </c>
      <c r="AJ264" s="8">
        <v>0</v>
      </c>
      <c r="AK264" s="62" t="s">
        <v>132</v>
      </c>
      <c r="AL264" s="62" t="s">
        <v>169</v>
      </c>
      <c r="AM264" s="62" t="s">
        <v>77</v>
      </c>
      <c r="AN264" s="5"/>
      <c r="AO264" s="7"/>
    </row>
    <row r="265" spans="1:41" ht="15.75" customHeight="1" x14ac:dyDescent="0.25">
      <c r="A265" s="4">
        <v>264</v>
      </c>
      <c r="B265" s="5" t="s">
        <v>754</v>
      </c>
      <c r="C265" s="58">
        <v>4.2</v>
      </c>
      <c r="D265" s="61" t="s">
        <v>755</v>
      </c>
      <c r="E265" s="72" t="s">
        <v>756</v>
      </c>
      <c r="F265" s="62" t="s">
        <v>756</v>
      </c>
      <c r="G265" s="8" t="s">
        <v>43</v>
      </c>
      <c r="H265" s="8">
        <v>2004</v>
      </c>
      <c r="I265" s="62" t="s">
        <v>44</v>
      </c>
      <c r="J265" s="62" t="s">
        <v>577</v>
      </c>
      <c r="K265" s="62" t="s">
        <v>96</v>
      </c>
      <c r="L265" s="62" t="s">
        <v>46</v>
      </c>
      <c r="M265" s="62" t="s">
        <v>47</v>
      </c>
      <c r="N265" s="5">
        <v>0</v>
      </c>
      <c r="O265" s="8">
        <v>0</v>
      </c>
      <c r="P265" s="69">
        <v>45000</v>
      </c>
      <c r="Q265" s="69">
        <v>82000</v>
      </c>
      <c r="R265" s="69">
        <v>63500</v>
      </c>
      <c r="S265" s="62" t="s">
        <v>0</v>
      </c>
      <c r="T265" s="8">
        <f t="shared" si="11"/>
        <v>19</v>
      </c>
      <c r="U265" s="8">
        <v>0</v>
      </c>
      <c r="V265" s="8">
        <v>0</v>
      </c>
      <c r="W265" s="8">
        <v>0</v>
      </c>
      <c r="X265" s="8">
        <v>1</v>
      </c>
      <c r="Y265" s="8">
        <v>1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62" t="s">
        <v>132</v>
      </c>
      <c r="AL265" s="62" t="s">
        <v>50</v>
      </c>
      <c r="AM265" s="62" t="s">
        <v>77</v>
      </c>
      <c r="AN265" s="5"/>
      <c r="AO265" s="7"/>
    </row>
    <row r="266" spans="1:41" ht="15.75" customHeight="1" x14ac:dyDescent="0.25">
      <c r="A266" s="4">
        <v>265</v>
      </c>
      <c r="B266" s="5" t="s">
        <v>39</v>
      </c>
      <c r="C266" s="58">
        <v>4</v>
      </c>
      <c r="D266" s="61" t="s">
        <v>757</v>
      </c>
      <c r="E266" s="72" t="s">
        <v>98</v>
      </c>
      <c r="F266" s="62" t="s">
        <v>325</v>
      </c>
      <c r="G266" s="8">
        <v>500</v>
      </c>
      <c r="H266" s="8" t="s">
        <v>47</v>
      </c>
      <c r="I266" s="62" t="s">
        <v>44</v>
      </c>
      <c r="J266" s="62" t="s">
        <v>213</v>
      </c>
      <c r="K266" s="62" t="s">
        <v>111</v>
      </c>
      <c r="L266" s="62" t="s">
        <v>233</v>
      </c>
      <c r="M266" s="62" t="s">
        <v>47</v>
      </c>
      <c r="N266" s="5">
        <v>0</v>
      </c>
      <c r="O266" s="8">
        <v>0</v>
      </c>
      <c r="P266" s="69">
        <v>83000</v>
      </c>
      <c r="Q266" s="69">
        <v>135000</v>
      </c>
      <c r="R266" s="69">
        <v>109000</v>
      </c>
      <c r="S266" s="62" t="s">
        <v>102</v>
      </c>
      <c r="T266" s="8" t="s">
        <v>47</v>
      </c>
      <c r="U266" s="8">
        <v>1</v>
      </c>
      <c r="V266" s="8">
        <v>0</v>
      </c>
      <c r="W266" s="8">
        <v>0</v>
      </c>
      <c r="X266" s="8">
        <v>0</v>
      </c>
      <c r="Y266" s="8">
        <v>1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1</v>
      </c>
      <c r="AG266" s="8">
        <v>0</v>
      </c>
      <c r="AH266" s="8">
        <v>0</v>
      </c>
      <c r="AI266" s="8">
        <v>0</v>
      </c>
      <c r="AJ266" s="8">
        <v>0</v>
      </c>
      <c r="AK266" s="62" t="s">
        <v>49</v>
      </c>
      <c r="AL266" s="62" t="s">
        <v>50</v>
      </c>
      <c r="AM266" s="62" t="s">
        <v>77</v>
      </c>
      <c r="AN266" s="5"/>
      <c r="AO266" s="7"/>
    </row>
    <row r="267" spans="1:41" ht="15.75" customHeight="1" x14ac:dyDescent="0.25">
      <c r="A267" s="4">
        <v>266</v>
      </c>
      <c r="B267" s="5" t="s">
        <v>39</v>
      </c>
      <c r="C267" s="58">
        <v>3.5</v>
      </c>
      <c r="D267" s="61" t="s">
        <v>758</v>
      </c>
      <c r="E267" s="72" t="s">
        <v>759</v>
      </c>
      <c r="F267" s="62" t="s">
        <v>760</v>
      </c>
      <c r="G267" s="8" t="s">
        <v>120</v>
      </c>
      <c r="H267" s="8">
        <v>1850</v>
      </c>
      <c r="I267" s="62" t="s">
        <v>89</v>
      </c>
      <c r="J267" s="62" t="s">
        <v>45</v>
      </c>
      <c r="K267" s="62" t="s">
        <v>45</v>
      </c>
      <c r="L267" s="62" t="s">
        <v>74</v>
      </c>
      <c r="M267" s="62" t="s">
        <v>47</v>
      </c>
      <c r="N267" s="5">
        <v>0</v>
      </c>
      <c r="O267" s="8">
        <v>0</v>
      </c>
      <c r="P267" s="69">
        <v>70000</v>
      </c>
      <c r="Q267" s="69">
        <v>122000</v>
      </c>
      <c r="R267" s="69">
        <v>96000</v>
      </c>
      <c r="S267" s="62" t="s">
        <v>542</v>
      </c>
      <c r="T267" s="8">
        <f t="shared" ref="T267:T301" si="12">2023-H267</f>
        <v>173</v>
      </c>
      <c r="U267" s="8">
        <v>1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1</v>
      </c>
      <c r="AB267" s="8">
        <v>1</v>
      </c>
      <c r="AC267" s="8">
        <v>0</v>
      </c>
      <c r="AD267" s="8">
        <v>1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62" t="s">
        <v>49</v>
      </c>
      <c r="AL267" s="62" t="s">
        <v>50</v>
      </c>
      <c r="AM267" s="62" t="s">
        <v>51</v>
      </c>
      <c r="AN267" s="5"/>
      <c r="AO267" s="7"/>
    </row>
    <row r="268" spans="1:41" ht="15.75" customHeight="1" x14ac:dyDescent="0.25">
      <c r="A268" s="4">
        <v>267</v>
      </c>
      <c r="B268" s="5" t="s">
        <v>596</v>
      </c>
      <c r="C268" s="58">
        <v>0</v>
      </c>
      <c r="D268" s="61" t="s">
        <v>597</v>
      </c>
      <c r="E268" s="72" t="s">
        <v>98</v>
      </c>
      <c r="F268" s="62" t="s">
        <v>222</v>
      </c>
      <c r="G268" s="8" t="s">
        <v>81</v>
      </c>
      <c r="H268" s="8">
        <v>2017</v>
      </c>
      <c r="I268" s="62" t="s">
        <v>44</v>
      </c>
      <c r="J268" s="62" t="s">
        <v>213</v>
      </c>
      <c r="K268" s="62" t="s">
        <v>111</v>
      </c>
      <c r="L268" s="62" t="s">
        <v>318</v>
      </c>
      <c r="M268" s="62" t="s">
        <v>47</v>
      </c>
      <c r="N268" s="5">
        <v>0</v>
      </c>
      <c r="O268" s="8">
        <v>1</v>
      </c>
      <c r="P268" s="69">
        <v>200000</v>
      </c>
      <c r="Q268" s="69">
        <v>250000</v>
      </c>
      <c r="R268" s="69">
        <v>225000</v>
      </c>
      <c r="S268" s="62" t="s">
        <v>102</v>
      </c>
      <c r="T268" s="8">
        <f t="shared" si="12"/>
        <v>6</v>
      </c>
      <c r="U268" s="8">
        <v>1</v>
      </c>
      <c r="V268" s="8">
        <v>0</v>
      </c>
      <c r="W268" s="8">
        <v>1</v>
      </c>
      <c r="X268" s="8">
        <v>1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1</v>
      </c>
      <c r="AG268" s="8">
        <v>0</v>
      </c>
      <c r="AH268" s="8">
        <v>0</v>
      </c>
      <c r="AI268" s="8">
        <v>0</v>
      </c>
      <c r="AJ268" s="8">
        <v>0</v>
      </c>
      <c r="AK268" s="62" t="s">
        <v>49</v>
      </c>
      <c r="AL268" s="62" t="s">
        <v>169</v>
      </c>
      <c r="AM268" s="62" t="s">
        <v>77</v>
      </c>
      <c r="AN268" s="5"/>
      <c r="AO268" s="7"/>
    </row>
    <row r="269" spans="1:41" ht="15.75" customHeight="1" x14ac:dyDescent="0.25">
      <c r="A269" s="4">
        <v>268</v>
      </c>
      <c r="B269" s="5" t="s">
        <v>224</v>
      </c>
      <c r="C269" s="58">
        <v>3.2</v>
      </c>
      <c r="D269" s="61" t="s">
        <v>611</v>
      </c>
      <c r="E269" s="72" t="s">
        <v>761</v>
      </c>
      <c r="F269" s="62" t="s">
        <v>612</v>
      </c>
      <c r="G269" s="8" t="s">
        <v>70</v>
      </c>
      <c r="H269" s="8">
        <v>2008</v>
      </c>
      <c r="I269" s="62" t="s">
        <v>89</v>
      </c>
      <c r="J269" s="62" t="s">
        <v>613</v>
      </c>
      <c r="K269" s="62" t="s">
        <v>96</v>
      </c>
      <c r="L269" s="62" t="s">
        <v>74</v>
      </c>
      <c r="M269" s="62" t="s">
        <v>614</v>
      </c>
      <c r="N269" s="5">
        <v>0</v>
      </c>
      <c r="O269" s="8">
        <v>0</v>
      </c>
      <c r="P269" s="69">
        <v>70000</v>
      </c>
      <c r="Q269" s="69">
        <v>132000</v>
      </c>
      <c r="R269" s="69">
        <v>101000</v>
      </c>
      <c r="S269" s="62" t="s">
        <v>102</v>
      </c>
      <c r="T269" s="8">
        <f t="shared" si="12"/>
        <v>15</v>
      </c>
      <c r="U269" s="8">
        <v>1</v>
      </c>
      <c r="V269" s="8">
        <v>0</v>
      </c>
      <c r="W269" s="8">
        <v>1</v>
      </c>
      <c r="X269" s="8">
        <v>1</v>
      </c>
      <c r="Y269" s="8">
        <v>1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1</v>
      </c>
      <c r="AG269" s="8">
        <v>0</v>
      </c>
      <c r="AH269" s="8">
        <v>0</v>
      </c>
      <c r="AI269" s="8">
        <v>0</v>
      </c>
      <c r="AJ269" s="8">
        <v>0</v>
      </c>
      <c r="AK269" s="62" t="s">
        <v>146</v>
      </c>
      <c r="AL269" s="62" t="s">
        <v>50</v>
      </c>
      <c r="AM269" s="62" t="s">
        <v>77</v>
      </c>
      <c r="AN269" s="5"/>
      <c r="AO269" s="7"/>
    </row>
    <row r="270" spans="1:41" ht="15.75" customHeight="1" x14ac:dyDescent="0.25">
      <c r="A270" s="4">
        <v>269</v>
      </c>
      <c r="B270" s="5" t="s">
        <v>220</v>
      </c>
      <c r="C270" s="58">
        <v>3.3</v>
      </c>
      <c r="D270" s="61" t="s">
        <v>593</v>
      </c>
      <c r="E270" s="72" t="s">
        <v>594</v>
      </c>
      <c r="F270" s="62" t="s">
        <v>269</v>
      </c>
      <c r="G270" s="8" t="s">
        <v>70</v>
      </c>
      <c r="H270" s="8">
        <v>1982</v>
      </c>
      <c r="I270" s="62" t="s">
        <v>44</v>
      </c>
      <c r="J270" s="62" t="s">
        <v>161</v>
      </c>
      <c r="K270" s="62" t="s">
        <v>162</v>
      </c>
      <c r="L270" s="62" t="s">
        <v>180</v>
      </c>
      <c r="M270" s="62" t="s">
        <v>595</v>
      </c>
      <c r="N270" s="5">
        <v>0</v>
      </c>
      <c r="O270" s="8">
        <v>0</v>
      </c>
      <c r="P270" s="69">
        <v>73000</v>
      </c>
      <c r="Q270" s="69">
        <v>124000</v>
      </c>
      <c r="R270" s="69">
        <v>98500</v>
      </c>
      <c r="S270" s="62" t="s">
        <v>145</v>
      </c>
      <c r="T270" s="8">
        <f t="shared" si="12"/>
        <v>41</v>
      </c>
      <c r="U270" s="8">
        <v>0</v>
      </c>
      <c r="V270" s="8">
        <v>0</v>
      </c>
      <c r="W270" s="8">
        <v>0</v>
      </c>
      <c r="X270" s="8">
        <v>1</v>
      </c>
      <c r="Y270" s="8">
        <v>1</v>
      </c>
      <c r="Z270" s="8">
        <v>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62" t="s">
        <v>49</v>
      </c>
      <c r="AL270" s="62" t="s">
        <v>169</v>
      </c>
      <c r="AM270" s="62" t="s">
        <v>51</v>
      </c>
      <c r="AN270" s="5"/>
      <c r="AO270" s="7"/>
    </row>
    <row r="271" spans="1:41" ht="15.75" customHeight="1" x14ac:dyDescent="0.25">
      <c r="A271" s="4">
        <v>270</v>
      </c>
      <c r="B271" s="5" t="s">
        <v>762</v>
      </c>
      <c r="C271" s="58">
        <v>3.9</v>
      </c>
      <c r="D271" s="61" t="s">
        <v>763</v>
      </c>
      <c r="E271" s="72" t="s">
        <v>764</v>
      </c>
      <c r="F271" s="62" t="s">
        <v>764</v>
      </c>
      <c r="G271" s="8" t="s">
        <v>70</v>
      </c>
      <c r="H271" s="8">
        <v>1948</v>
      </c>
      <c r="I271" s="62" t="s">
        <v>44</v>
      </c>
      <c r="J271" s="62" t="s">
        <v>481</v>
      </c>
      <c r="K271" s="62" t="s">
        <v>427</v>
      </c>
      <c r="L271" s="62" t="s">
        <v>91</v>
      </c>
      <c r="M271" s="62" t="s">
        <v>765</v>
      </c>
      <c r="N271" s="5">
        <v>0</v>
      </c>
      <c r="O271" s="8">
        <v>0</v>
      </c>
      <c r="P271" s="69">
        <v>54000</v>
      </c>
      <c r="Q271" s="69">
        <v>101000</v>
      </c>
      <c r="R271" s="69">
        <v>77500</v>
      </c>
      <c r="S271" s="62" t="s">
        <v>766</v>
      </c>
      <c r="T271" s="8">
        <f t="shared" si="12"/>
        <v>75</v>
      </c>
      <c r="U271" s="8">
        <v>0</v>
      </c>
      <c r="V271" s="8">
        <v>0</v>
      </c>
      <c r="W271" s="8">
        <v>0</v>
      </c>
      <c r="X271" s="8">
        <v>1</v>
      </c>
      <c r="Y271" s="8">
        <v>1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1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62" t="s">
        <v>146</v>
      </c>
      <c r="AL271" s="62" t="s">
        <v>50</v>
      </c>
      <c r="AM271" s="62" t="s">
        <v>77</v>
      </c>
      <c r="AN271" s="5"/>
      <c r="AO271" s="7"/>
    </row>
    <row r="272" spans="1:41" ht="15.75" customHeight="1" x14ac:dyDescent="0.25">
      <c r="A272" s="4">
        <v>271</v>
      </c>
      <c r="B272" s="5" t="s">
        <v>602</v>
      </c>
      <c r="C272" s="58">
        <v>3.7</v>
      </c>
      <c r="D272" s="61" t="s">
        <v>133</v>
      </c>
      <c r="E272" s="72" t="s">
        <v>269</v>
      </c>
      <c r="F272" s="62" t="s">
        <v>135</v>
      </c>
      <c r="G272" s="8" t="s">
        <v>56</v>
      </c>
      <c r="H272" s="8">
        <v>1781</v>
      </c>
      <c r="I272" s="62" t="s">
        <v>89</v>
      </c>
      <c r="J272" s="62" t="s">
        <v>136</v>
      </c>
      <c r="K272" s="62" t="s">
        <v>136</v>
      </c>
      <c r="L272" s="62" t="s">
        <v>128</v>
      </c>
      <c r="M272" s="62" t="s">
        <v>137</v>
      </c>
      <c r="N272" s="5">
        <v>0</v>
      </c>
      <c r="O272" s="8">
        <v>0</v>
      </c>
      <c r="P272" s="69">
        <v>117000</v>
      </c>
      <c r="Q272" s="69">
        <v>206000</v>
      </c>
      <c r="R272" s="69">
        <v>161500</v>
      </c>
      <c r="S272" s="62" t="s">
        <v>138</v>
      </c>
      <c r="T272" s="8">
        <f t="shared" si="12"/>
        <v>242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62" t="s">
        <v>107</v>
      </c>
      <c r="AL272" s="62" t="s">
        <v>169</v>
      </c>
      <c r="AM272" s="62" t="s">
        <v>51</v>
      </c>
      <c r="AN272" s="5"/>
      <c r="AO272" s="7"/>
    </row>
    <row r="273" spans="1:41" ht="15.75" customHeight="1" x14ac:dyDescent="0.25">
      <c r="A273" s="4">
        <v>272</v>
      </c>
      <c r="B273" s="5" t="s">
        <v>598</v>
      </c>
      <c r="C273" s="58">
        <v>3.6</v>
      </c>
      <c r="D273" s="61" t="s">
        <v>599</v>
      </c>
      <c r="E273" s="72" t="s">
        <v>600</v>
      </c>
      <c r="F273" s="62" t="s">
        <v>600</v>
      </c>
      <c r="G273" s="8" t="s">
        <v>70</v>
      </c>
      <c r="H273" s="8">
        <v>1935</v>
      </c>
      <c r="I273" s="62" t="s">
        <v>160</v>
      </c>
      <c r="J273" s="62" t="s">
        <v>58</v>
      </c>
      <c r="K273" s="62" t="s">
        <v>59</v>
      </c>
      <c r="L273" s="62" t="s">
        <v>66</v>
      </c>
      <c r="M273" s="62" t="s">
        <v>47</v>
      </c>
      <c r="N273" s="5">
        <v>1</v>
      </c>
      <c r="O273" s="8">
        <v>0</v>
      </c>
      <c r="P273" s="69">
        <v>43000</v>
      </c>
      <c r="Q273" s="69">
        <v>70000</v>
      </c>
      <c r="R273" s="69">
        <v>56500</v>
      </c>
      <c r="S273" s="62" t="s">
        <v>601</v>
      </c>
      <c r="T273" s="8">
        <f t="shared" si="12"/>
        <v>88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62" t="s">
        <v>107</v>
      </c>
      <c r="AL273" s="62" t="s">
        <v>50</v>
      </c>
      <c r="AM273" s="62" t="s">
        <v>77</v>
      </c>
      <c r="AN273" s="5"/>
      <c r="AO273" s="7"/>
    </row>
    <row r="274" spans="1:41" ht="15.75" customHeight="1" x14ac:dyDescent="0.25">
      <c r="A274" s="4">
        <v>273</v>
      </c>
      <c r="B274" s="5" t="s">
        <v>603</v>
      </c>
      <c r="C274" s="58">
        <v>3.4</v>
      </c>
      <c r="D274" s="61" t="s">
        <v>604</v>
      </c>
      <c r="E274" s="72" t="s">
        <v>79</v>
      </c>
      <c r="F274" s="62" t="s">
        <v>605</v>
      </c>
      <c r="G274" s="8" t="s">
        <v>70</v>
      </c>
      <c r="H274" s="8">
        <v>1948</v>
      </c>
      <c r="I274" s="62" t="s">
        <v>89</v>
      </c>
      <c r="J274" s="62" t="s">
        <v>161</v>
      </c>
      <c r="K274" s="62" t="s">
        <v>162</v>
      </c>
      <c r="L274" s="62" t="s">
        <v>91</v>
      </c>
      <c r="M274" s="62" t="s">
        <v>47</v>
      </c>
      <c r="N274" s="5">
        <v>0</v>
      </c>
      <c r="O274" s="8">
        <v>0</v>
      </c>
      <c r="P274" s="69">
        <v>111000</v>
      </c>
      <c r="Q274" s="69">
        <v>183000</v>
      </c>
      <c r="R274" s="69">
        <v>147000</v>
      </c>
      <c r="S274" s="62" t="s">
        <v>85</v>
      </c>
      <c r="T274" s="8">
        <f t="shared" si="12"/>
        <v>75</v>
      </c>
      <c r="U274" s="8">
        <v>1</v>
      </c>
      <c r="V274" s="8">
        <v>1</v>
      </c>
      <c r="W274" s="8">
        <v>1</v>
      </c>
      <c r="X274" s="8">
        <v>0</v>
      </c>
      <c r="Y274" s="8">
        <v>1</v>
      </c>
      <c r="Z274" s="8">
        <v>0</v>
      </c>
      <c r="AA274" s="8">
        <v>1</v>
      </c>
      <c r="AB274" s="8">
        <v>1</v>
      </c>
      <c r="AC274" s="8">
        <v>1</v>
      </c>
      <c r="AD274" s="8">
        <v>1</v>
      </c>
      <c r="AE274" s="8">
        <v>1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62" t="s">
        <v>49</v>
      </c>
      <c r="AL274" s="62" t="s">
        <v>169</v>
      </c>
      <c r="AM274" s="62" t="s">
        <v>77</v>
      </c>
      <c r="AN274" s="5"/>
      <c r="AO274" s="7"/>
    </row>
    <row r="275" spans="1:41" ht="15.75" customHeight="1" x14ac:dyDescent="0.25">
      <c r="A275" s="4">
        <v>274</v>
      </c>
      <c r="B275" s="5" t="s">
        <v>39</v>
      </c>
      <c r="C275" s="58">
        <v>3.5</v>
      </c>
      <c r="D275" s="61" t="s">
        <v>767</v>
      </c>
      <c r="E275" s="72" t="s">
        <v>98</v>
      </c>
      <c r="F275" s="62" t="s">
        <v>768</v>
      </c>
      <c r="G275" s="8" t="s">
        <v>56</v>
      </c>
      <c r="H275" s="8">
        <v>1997</v>
      </c>
      <c r="I275" s="62" t="s">
        <v>89</v>
      </c>
      <c r="J275" s="62" t="s">
        <v>213</v>
      </c>
      <c r="K275" s="62" t="s">
        <v>111</v>
      </c>
      <c r="L275" s="62" t="s">
        <v>83</v>
      </c>
      <c r="M275" s="62" t="s">
        <v>769</v>
      </c>
      <c r="N275" s="5">
        <v>0</v>
      </c>
      <c r="O275" s="8">
        <v>0</v>
      </c>
      <c r="P275" s="69">
        <v>68000</v>
      </c>
      <c r="Q275" s="69">
        <v>112000</v>
      </c>
      <c r="R275" s="69">
        <v>90000</v>
      </c>
      <c r="S275" s="62" t="s">
        <v>102</v>
      </c>
      <c r="T275" s="8">
        <f t="shared" si="12"/>
        <v>26</v>
      </c>
      <c r="U275" s="8">
        <v>1</v>
      </c>
      <c r="V275" s="8">
        <v>0</v>
      </c>
      <c r="W275" s="8">
        <v>0</v>
      </c>
      <c r="X275" s="8">
        <v>1</v>
      </c>
      <c r="Y275" s="8">
        <v>1</v>
      </c>
      <c r="Z275" s="8">
        <v>0</v>
      </c>
      <c r="AA275" s="8">
        <v>1</v>
      </c>
      <c r="AB275" s="8">
        <v>0</v>
      </c>
      <c r="AC275" s="8">
        <v>1</v>
      </c>
      <c r="AD275" s="8">
        <v>0</v>
      </c>
      <c r="AE275" s="8">
        <v>0</v>
      </c>
      <c r="AF275" s="8">
        <v>1</v>
      </c>
      <c r="AG275" s="8">
        <v>0</v>
      </c>
      <c r="AH275" s="8">
        <v>0</v>
      </c>
      <c r="AI275" s="8">
        <v>0</v>
      </c>
      <c r="AJ275" s="8">
        <v>0</v>
      </c>
      <c r="AK275" s="62" t="s">
        <v>49</v>
      </c>
      <c r="AL275" s="62" t="s">
        <v>50</v>
      </c>
      <c r="AM275" s="62" t="s">
        <v>77</v>
      </c>
      <c r="AN275" s="5"/>
      <c r="AO275" s="7"/>
    </row>
    <row r="276" spans="1:41" ht="15.75" customHeight="1" x14ac:dyDescent="0.25">
      <c r="A276" s="4">
        <v>275</v>
      </c>
      <c r="B276" s="5" t="s">
        <v>770</v>
      </c>
      <c r="C276" s="58">
        <v>4.3</v>
      </c>
      <c r="D276" s="61" t="s">
        <v>771</v>
      </c>
      <c r="E276" s="72" t="s">
        <v>772</v>
      </c>
      <c r="F276" s="62" t="s">
        <v>773</v>
      </c>
      <c r="G276" s="8" t="s">
        <v>43</v>
      </c>
      <c r="H276" s="8">
        <v>1902</v>
      </c>
      <c r="I276" s="62" t="s">
        <v>89</v>
      </c>
      <c r="J276" s="62" t="s">
        <v>95</v>
      </c>
      <c r="K276" s="62" t="s">
        <v>96</v>
      </c>
      <c r="L276" s="62" t="s">
        <v>194</v>
      </c>
      <c r="M276" s="62" t="s">
        <v>47</v>
      </c>
      <c r="N276" s="5">
        <v>0</v>
      </c>
      <c r="O276" s="8">
        <v>0</v>
      </c>
      <c r="P276" s="69">
        <v>42000</v>
      </c>
      <c r="Q276" s="69">
        <v>74000</v>
      </c>
      <c r="R276" s="69">
        <v>58000</v>
      </c>
      <c r="S276" s="62" t="s">
        <v>145</v>
      </c>
      <c r="T276" s="8">
        <f t="shared" si="12"/>
        <v>121</v>
      </c>
      <c r="U276" s="8">
        <v>0</v>
      </c>
      <c r="V276" s="8">
        <v>0</v>
      </c>
      <c r="W276" s="8">
        <v>1</v>
      </c>
      <c r="X276" s="8">
        <v>0</v>
      </c>
      <c r="Y276" s="8">
        <v>1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62" t="s">
        <v>132</v>
      </c>
      <c r="AL276" s="62" t="s">
        <v>50</v>
      </c>
      <c r="AM276" s="62" t="s">
        <v>77</v>
      </c>
      <c r="AN276" s="5"/>
      <c r="AO276" s="7"/>
    </row>
    <row r="277" spans="1:41" ht="15.75" customHeight="1" x14ac:dyDescent="0.25">
      <c r="A277" s="4">
        <v>276</v>
      </c>
      <c r="B277" s="5" t="s">
        <v>606</v>
      </c>
      <c r="C277" s="58">
        <v>4.0999999999999996</v>
      </c>
      <c r="D277" s="61" t="s">
        <v>607</v>
      </c>
      <c r="E277" s="72" t="s">
        <v>608</v>
      </c>
      <c r="F277" s="62" t="s">
        <v>608</v>
      </c>
      <c r="G277" s="8" t="s">
        <v>43</v>
      </c>
      <c r="H277" s="8">
        <v>1961</v>
      </c>
      <c r="I277" s="62" t="s">
        <v>44</v>
      </c>
      <c r="J277" s="62" t="s">
        <v>72</v>
      </c>
      <c r="K277" s="62" t="s">
        <v>73</v>
      </c>
      <c r="L277" s="62" t="s">
        <v>91</v>
      </c>
      <c r="M277" s="62" t="s">
        <v>47</v>
      </c>
      <c r="N277" s="5">
        <v>0</v>
      </c>
      <c r="O277" s="8">
        <v>0</v>
      </c>
      <c r="P277" s="69">
        <v>44000</v>
      </c>
      <c r="Q277" s="69">
        <v>78000</v>
      </c>
      <c r="R277" s="69">
        <v>61000</v>
      </c>
      <c r="S277" s="62" t="s">
        <v>288</v>
      </c>
      <c r="T277" s="8">
        <f t="shared" si="12"/>
        <v>62</v>
      </c>
      <c r="U277" s="8">
        <v>0</v>
      </c>
      <c r="V277" s="8">
        <v>0</v>
      </c>
      <c r="W277" s="8">
        <v>0</v>
      </c>
      <c r="X277" s="8">
        <v>1</v>
      </c>
      <c r="Y277" s="8">
        <v>1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62" t="s">
        <v>132</v>
      </c>
      <c r="AL277" s="62" t="s">
        <v>50</v>
      </c>
      <c r="AM277" s="62" t="s">
        <v>51</v>
      </c>
      <c r="AN277" s="5"/>
      <c r="AO277" s="7"/>
    </row>
    <row r="278" spans="1:41" ht="15.75" customHeight="1" x14ac:dyDescent="0.25">
      <c r="A278" s="4">
        <v>277</v>
      </c>
      <c r="B278" s="5" t="s">
        <v>609</v>
      </c>
      <c r="C278" s="58">
        <v>2.6</v>
      </c>
      <c r="D278" s="61" t="s">
        <v>530</v>
      </c>
      <c r="E278" s="72" t="s">
        <v>342</v>
      </c>
      <c r="F278" s="62" t="s">
        <v>342</v>
      </c>
      <c r="G278" s="8" t="s">
        <v>43</v>
      </c>
      <c r="H278" s="8">
        <v>1984</v>
      </c>
      <c r="I278" s="62" t="s">
        <v>531</v>
      </c>
      <c r="J278" s="62" t="s">
        <v>532</v>
      </c>
      <c r="K278" s="62" t="s">
        <v>415</v>
      </c>
      <c r="L278" s="62" t="s">
        <v>83</v>
      </c>
      <c r="M278" s="62" t="s">
        <v>47</v>
      </c>
      <c r="N278" s="5">
        <v>0</v>
      </c>
      <c r="O278" s="8">
        <v>0</v>
      </c>
      <c r="P278" s="69">
        <v>81000</v>
      </c>
      <c r="Q278" s="69">
        <v>159000</v>
      </c>
      <c r="R278" s="69">
        <v>120000</v>
      </c>
      <c r="S278" s="62" t="s">
        <v>305</v>
      </c>
      <c r="T278" s="8">
        <f t="shared" si="12"/>
        <v>39</v>
      </c>
      <c r="U278" s="8">
        <v>1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62" t="s">
        <v>508</v>
      </c>
      <c r="AL278" s="62" t="s">
        <v>50</v>
      </c>
      <c r="AM278" s="62" t="s">
        <v>108</v>
      </c>
      <c r="AN278" s="5"/>
      <c r="AO278" s="7"/>
    </row>
    <row r="279" spans="1:41" ht="15.75" customHeight="1" x14ac:dyDescent="0.25">
      <c r="A279" s="4">
        <v>278</v>
      </c>
      <c r="B279" s="5" t="s">
        <v>39</v>
      </c>
      <c r="C279" s="58">
        <v>3.6</v>
      </c>
      <c r="D279" s="61" t="s">
        <v>774</v>
      </c>
      <c r="E279" s="72" t="s">
        <v>79</v>
      </c>
      <c r="F279" s="62" t="s">
        <v>80</v>
      </c>
      <c r="G279" s="8" t="s">
        <v>70</v>
      </c>
      <c r="H279" s="8">
        <v>1744</v>
      </c>
      <c r="I279" s="62" t="s">
        <v>89</v>
      </c>
      <c r="J279" s="62" t="s">
        <v>775</v>
      </c>
      <c r="K279" s="62" t="s">
        <v>116</v>
      </c>
      <c r="L279" s="62" t="s">
        <v>74</v>
      </c>
      <c r="M279" s="62" t="s">
        <v>47</v>
      </c>
      <c r="N279" s="5">
        <v>0</v>
      </c>
      <c r="O279" s="8">
        <v>0</v>
      </c>
      <c r="P279" s="69">
        <v>95000</v>
      </c>
      <c r="Q279" s="69">
        <v>161000</v>
      </c>
      <c r="R279" s="69">
        <v>128000</v>
      </c>
      <c r="S279" s="62" t="s">
        <v>85</v>
      </c>
      <c r="T279" s="8">
        <f t="shared" si="12"/>
        <v>279</v>
      </c>
      <c r="U279" s="8">
        <v>1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62" t="s">
        <v>49</v>
      </c>
      <c r="AL279" s="62" t="s">
        <v>50</v>
      </c>
      <c r="AM279" s="62" t="s">
        <v>77</v>
      </c>
      <c r="AN279" s="5"/>
      <c r="AO279" s="7"/>
    </row>
    <row r="280" spans="1:41" ht="15.75" customHeight="1" x14ac:dyDescent="0.25">
      <c r="A280" s="4">
        <v>279</v>
      </c>
      <c r="B280" s="5" t="s">
        <v>39</v>
      </c>
      <c r="C280" s="58">
        <v>3.5</v>
      </c>
      <c r="D280" s="61" t="s">
        <v>187</v>
      </c>
      <c r="E280" s="72" t="s">
        <v>188</v>
      </c>
      <c r="F280" s="62" t="s">
        <v>189</v>
      </c>
      <c r="G280" s="8" t="s">
        <v>70</v>
      </c>
      <c r="H280" s="8">
        <v>1952</v>
      </c>
      <c r="I280" s="62" t="s">
        <v>44</v>
      </c>
      <c r="J280" s="62" t="s">
        <v>95</v>
      </c>
      <c r="K280" s="62" t="s">
        <v>96</v>
      </c>
      <c r="L280" s="62" t="s">
        <v>66</v>
      </c>
      <c r="M280" s="62" t="s">
        <v>47</v>
      </c>
      <c r="N280" s="5">
        <v>0</v>
      </c>
      <c r="O280" s="8">
        <v>0</v>
      </c>
      <c r="P280" s="69">
        <v>75000</v>
      </c>
      <c r="Q280" s="69">
        <v>124000</v>
      </c>
      <c r="R280" s="69">
        <v>99500</v>
      </c>
      <c r="S280" s="62" t="s">
        <v>190</v>
      </c>
      <c r="T280" s="8">
        <f t="shared" si="12"/>
        <v>71</v>
      </c>
      <c r="U280" s="8">
        <v>1</v>
      </c>
      <c r="V280" s="8">
        <v>1</v>
      </c>
      <c r="W280" s="8">
        <v>1</v>
      </c>
      <c r="X280" s="8">
        <v>1</v>
      </c>
      <c r="Y280" s="8">
        <v>1</v>
      </c>
      <c r="Z280" s="8">
        <v>0</v>
      </c>
      <c r="AA280" s="8">
        <v>1</v>
      </c>
      <c r="AB280" s="8">
        <v>0</v>
      </c>
      <c r="AC280" s="8">
        <v>1</v>
      </c>
      <c r="AD280" s="8">
        <v>1</v>
      </c>
      <c r="AE280" s="8">
        <v>0</v>
      </c>
      <c r="AF280" s="8">
        <v>1</v>
      </c>
      <c r="AG280" s="8">
        <v>0</v>
      </c>
      <c r="AH280" s="8">
        <v>0</v>
      </c>
      <c r="AI280" s="8">
        <v>0</v>
      </c>
      <c r="AJ280" s="8">
        <v>0</v>
      </c>
      <c r="AK280" s="62" t="s">
        <v>49</v>
      </c>
      <c r="AL280" s="62" t="s">
        <v>50</v>
      </c>
      <c r="AM280" s="62" t="s">
        <v>77</v>
      </c>
      <c r="AN280" s="5"/>
      <c r="AO280" s="7"/>
    </row>
    <row r="281" spans="1:41" ht="15.75" customHeight="1" x14ac:dyDescent="0.25">
      <c r="A281" s="4">
        <v>280</v>
      </c>
      <c r="B281" s="5" t="s">
        <v>39</v>
      </c>
      <c r="C281" s="58">
        <v>3.6</v>
      </c>
      <c r="D281" s="61" t="s">
        <v>198</v>
      </c>
      <c r="E281" s="72" t="s">
        <v>199</v>
      </c>
      <c r="F281" s="62" t="s">
        <v>199</v>
      </c>
      <c r="G281" s="8" t="s">
        <v>70</v>
      </c>
      <c r="H281" s="8">
        <v>1997</v>
      </c>
      <c r="I281" s="62" t="s">
        <v>44</v>
      </c>
      <c r="J281" s="62" t="s">
        <v>90</v>
      </c>
      <c r="K281" s="62" t="s">
        <v>90</v>
      </c>
      <c r="L281" s="62" t="s">
        <v>74</v>
      </c>
      <c r="M281" s="62" t="s">
        <v>47</v>
      </c>
      <c r="N281" s="5">
        <v>0</v>
      </c>
      <c r="O281" s="8">
        <v>0</v>
      </c>
      <c r="P281" s="69">
        <v>72000</v>
      </c>
      <c r="Q281" s="69">
        <v>120000</v>
      </c>
      <c r="R281" s="69">
        <v>96000</v>
      </c>
      <c r="S281" s="62" t="s">
        <v>200</v>
      </c>
      <c r="T281" s="8">
        <f t="shared" si="12"/>
        <v>26</v>
      </c>
      <c r="U281" s="8">
        <v>1</v>
      </c>
      <c r="V281" s="8">
        <v>0</v>
      </c>
      <c r="W281" s="8">
        <v>0</v>
      </c>
      <c r="X281" s="8">
        <v>0</v>
      </c>
      <c r="Y281" s="8">
        <v>1</v>
      </c>
      <c r="Z281" s="8">
        <v>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62" t="s">
        <v>49</v>
      </c>
      <c r="AL281" s="62" t="s">
        <v>50</v>
      </c>
      <c r="AM281" s="62" t="s">
        <v>51</v>
      </c>
      <c r="AN281" s="5"/>
      <c r="AO281" s="7"/>
    </row>
    <row r="282" spans="1:41" ht="15.75" customHeight="1" x14ac:dyDescent="0.25">
      <c r="A282" s="4">
        <v>281</v>
      </c>
      <c r="B282" s="5" t="s">
        <v>39</v>
      </c>
      <c r="C282" s="58">
        <v>2.2999999999999998</v>
      </c>
      <c r="D282" s="61" t="s">
        <v>776</v>
      </c>
      <c r="E282" s="72" t="s">
        <v>243</v>
      </c>
      <c r="F282" s="62" t="s">
        <v>243</v>
      </c>
      <c r="G282" s="8" t="s">
        <v>88</v>
      </c>
      <c r="H282" s="8">
        <v>2003</v>
      </c>
      <c r="I282" s="62" t="s">
        <v>89</v>
      </c>
      <c r="J282" s="62" t="s">
        <v>136</v>
      </c>
      <c r="K282" s="62" t="s">
        <v>136</v>
      </c>
      <c r="L282" s="62" t="s">
        <v>66</v>
      </c>
      <c r="M282" s="62" t="s">
        <v>47</v>
      </c>
      <c r="N282" s="5">
        <v>0</v>
      </c>
      <c r="O282" s="8">
        <v>0</v>
      </c>
      <c r="P282" s="69">
        <v>76000</v>
      </c>
      <c r="Q282" s="69">
        <v>126000</v>
      </c>
      <c r="R282" s="69">
        <v>101000</v>
      </c>
      <c r="S282" s="62" t="s">
        <v>245</v>
      </c>
      <c r="T282" s="8">
        <f t="shared" si="12"/>
        <v>20</v>
      </c>
      <c r="U282" s="8">
        <v>1</v>
      </c>
      <c r="V282" s="8">
        <v>0</v>
      </c>
      <c r="W282" s="8">
        <v>0</v>
      </c>
      <c r="X282" s="8">
        <v>1</v>
      </c>
      <c r="Y282" s="8">
        <v>1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1</v>
      </c>
      <c r="AG282" s="8">
        <v>0</v>
      </c>
      <c r="AH282" s="8">
        <v>0</v>
      </c>
      <c r="AI282" s="8">
        <v>0</v>
      </c>
      <c r="AJ282" s="8">
        <v>0</v>
      </c>
      <c r="AK282" s="62" t="s">
        <v>49</v>
      </c>
      <c r="AL282" s="62" t="s">
        <v>50</v>
      </c>
      <c r="AM282" s="62" t="s">
        <v>51</v>
      </c>
      <c r="AN282" s="5"/>
      <c r="AO282" s="7"/>
    </row>
    <row r="283" spans="1:41" ht="15.75" customHeight="1" x14ac:dyDescent="0.25">
      <c r="A283" s="4">
        <v>282</v>
      </c>
      <c r="B283" s="5" t="s">
        <v>220</v>
      </c>
      <c r="C283" s="58">
        <v>3.9</v>
      </c>
      <c r="D283" s="61" t="s">
        <v>615</v>
      </c>
      <c r="E283" s="72" t="s">
        <v>616</v>
      </c>
      <c r="F283" s="62" t="s">
        <v>616</v>
      </c>
      <c r="G283" s="8" t="s">
        <v>81</v>
      </c>
      <c r="H283" s="8">
        <v>2009</v>
      </c>
      <c r="I283" s="62" t="s">
        <v>44</v>
      </c>
      <c r="J283" s="62" t="s">
        <v>381</v>
      </c>
      <c r="K283" s="62" t="s">
        <v>96</v>
      </c>
      <c r="L283" s="62" t="s">
        <v>46</v>
      </c>
      <c r="M283" s="62" t="s">
        <v>47</v>
      </c>
      <c r="N283" s="5">
        <v>0</v>
      </c>
      <c r="O283" s="8">
        <v>0</v>
      </c>
      <c r="P283" s="69">
        <v>114000</v>
      </c>
      <c r="Q283" s="69">
        <v>182000</v>
      </c>
      <c r="R283" s="69">
        <v>148000</v>
      </c>
      <c r="S283" s="62" t="s">
        <v>102</v>
      </c>
      <c r="T283" s="8">
        <f t="shared" si="12"/>
        <v>14</v>
      </c>
      <c r="U283" s="8">
        <v>1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62" t="s">
        <v>49</v>
      </c>
      <c r="AL283" s="62" t="s">
        <v>169</v>
      </c>
      <c r="AM283" s="62" t="s">
        <v>51</v>
      </c>
      <c r="AN283" s="5"/>
      <c r="AO283" s="7"/>
    </row>
    <row r="284" spans="1:41" ht="15.75" customHeight="1" x14ac:dyDescent="0.25">
      <c r="A284" s="4">
        <v>283</v>
      </c>
      <c r="B284" s="5" t="s">
        <v>777</v>
      </c>
      <c r="C284" s="58">
        <v>4</v>
      </c>
      <c r="D284" s="61" t="s">
        <v>182</v>
      </c>
      <c r="E284" s="72" t="s">
        <v>399</v>
      </c>
      <c r="F284" s="62" t="s">
        <v>183</v>
      </c>
      <c r="G284" s="8" t="s">
        <v>43</v>
      </c>
      <c r="H284" s="8">
        <v>2012</v>
      </c>
      <c r="I284" s="62" t="s">
        <v>44</v>
      </c>
      <c r="J284" s="62" t="s">
        <v>155</v>
      </c>
      <c r="K284" s="62" t="s">
        <v>111</v>
      </c>
      <c r="L284" s="62" t="s">
        <v>66</v>
      </c>
      <c r="M284" s="62" t="s">
        <v>184</v>
      </c>
      <c r="N284" s="5">
        <v>0</v>
      </c>
      <c r="O284" s="8">
        <v>0</v>
      </c>
      <c r="P284" s="69">
        <v>108000</v>
      </c>
      <c r="Q284" s="69">
        <v>176000</v>
      </c>
      <c r="R284" s="69">
        <v>142000</v>
      </c>
      <c r="S284" s="62" t="s">
        <v>122</v>
      </c>
      <c r="T284" s="8">
        <f t="shared" si="12"/>
        <v>11</v>
      </c>
      <c r="U284" s="8">
        <v>1</v>
      </c>
      <c r="V284" s="8">
        <v>0</v>
      </c>
      <c r="W284" s="8">
        <v>1</v>
      </c>
      <c r="X284" s="8">
        <v>0</v>
      </c>
      <c r="Y284" s="8">
        <v>1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1</v>
      </c>
      <c r="AJ284" s="8">
        <v>0</v>
      </c>
      <c r="AK284" s="62" t="s">
        <v>49</v>
      </c>
      <c r="AL284" s="62" t="s">
        <v>169</v>
      </c>
      <c r="AM284" s="62" t="s">
        <v>77</v>
      </c>
      <c r="AN284" s="5"/>
      <c r="AO284" s="7"/>
    </row>
    <row r="285" spans="1:41" ht="15.75" customHeight="1" x14ac:dyDescent="0.25">
      <c r="A285" s="4">
        <v>284</v>
      </c>
      <c r="B285" s="5" t="s">
        <v>220</v>
      </c>
      <c r="C285" s="58">
        <v>4.0999999999999996</v>
      </c>
      <c r="D285" s="61" t="s">
        <v>778</v>
      </c>
      <c r="E285" s="72" t="s">
        <v>296</v>
      </c>
      <c r="F285" s="62" t="s">
        <v>297</v>
      </c>
      <c r="G285" s="8">
        <v>500</v>
      </c>
      <c r="H285" s="8">
        <v>2007</v>
      </c>
      <c r="I285" s="62" t="s">
        <v>44</v>
      </c>
      <c r="J285" s="62" t="s">
        <v>779</v>
      </c>
      <c r="K285" s="62" t="s">
        <v>415</v>
      </c>
      <c r="L285" s="62" t="s">
        <v>83</v>
      </c>
      <c r="M285" s="62" t="s">
        <v>47</v>
      </c>
      <c r="N285" s="5">
        <v>0</v>
      </c>
      <c r="O285" s="8">
        <v>0</v>
      </c>
      <c r="P285" s="69">
        <v>130000</v>
      </c>
      <c r="Q285" s="69">
        <v>208000</v>
      </c>
      <c r="R285" s="69">
        <v>169000</v>
      </c>
      <c r="S285" s="62" t="s">
        <v>102</v>
      </c>
      <c r="T285" s="8">
        <f t="shared" si="12"/>
        <v>16</v>
      </c>
      <c r="U285" s="8">
        <v>0</v>
      </c>
      <c r="V285" s="8">
        <v>0</v>
      </c>
      <c r="W285" s="8">
        <v>1</v>
      </c>
      <c r="X285" s="8">
        <v>1</v>
      </c>
      <c r="Y285" s="8">
        <v>1</v>
      </c>
      <c r="Z285" s="8">
        <v>1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1</v>
      </c>
      <c r="AG285" s="8">
        <v>0</v>
      </c>
      <c r="AH285" s="8">
        <v>0</v>
      </c>
      <c r="AI285" s="8">
        <v>1</v>
      </c>
      <c r="AJ285" s="8">
        <v>0</v>
      </c>
      <c r="AK285" s="62" t="s">
        <v>49</v>
      </c>
      <c r="AL285" s="62" t="s">
        <v>169</v>
      </c>
      <c r="AM285" s="62" t="s">
        <v>51</v>
      </c>
      <c r="AN285" s="5"/>
      <c r="AO285" s="7"/>
    </row>
    <row r="286" spans="1:41" ht="15.75" customHeight="1" x14ac:dyDescent="0.25">
      <c r="A286" s="4">
        <v>285</v>
      </c>
      <c r="B286" s="5" t="s">
        <v>610</v>
      </c>
      <c r="C286" s="58">
        <v>3.2</v>
      </c>
      <c r="D286" s="61" t="s">
        <v>611</v>
      </c>
      <c r="E286" s="72" t="s">
        <v>435</v>
      </c>
      <c r="F286" s="62" t="s">
        <v>612</v>
      </c>
      <c r="G286" s="8" t="s">
        <v>70</v>
      </c>
      <c r="H286" s="8">
        <v>2008</v>
      </c>
      <c r="I286" s="62" t="s">
        <v>89</v>
      </c>
      <c r="J286" s="62" t="s">
        <v>613</v>
      </c>
      <c r="K286" s="62" t="s">
        <v>96</v>
      </c>
      <c r="L286" s="62" t="s">
        <v>74</v>
      </c>
      <c r="M286" s="62" t="s">
        <v>614</v>
      </c>
      <c r="N286" s="5">
        <v>0</v>
      </c>
      <c r="O286" s="8">
        <v>0</v>
      </c>
      <c r="P286" s="69">
        <v>83000</v>
      </c>
      <c r="Q286" s="69">
        <v>166000</v>
      </c>
      <c r="R286" s="69">
        <v>124500</v>
      </c>
      <c r="S286" s="62" t="s">
        <v>436</v>
      </c>
      <c r="T286" s="8">
        <f t="shared" si="12"/>
        <v>15</v>
      </c>
      <c r="U286" s="8">
        <v>1</v>
      </c>
      <c r="V286" s="8">
        <v>0</v>
      </c>
      <c r="W286" s="8">
        <v>0</v>
      </c>
      <c r="X286" s="8">
        <v>1</v>
      </c>
      <c r="Y286" s="8">
        <v>1</v>
      </c>
      <c r="Z286" s="8">
        <v>0</v>
      </c>
      <c r="AA286" s="8">
        <v>1</v>
      </c>
      <c r="AB286" s="8">
        <v>0</v>
      </c>
      <c r="AC286" s="8">
        <v>0</v>
      </c>
      <c r="AD286" s="8">
        <v>1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62" t="s">
        <v>49</v>
      </c>
      <c r="AL286" s="62" t="s">
        <v>50</v>
      </c>
      <c r="AM286" s="62" t="s">
        <v>77</v>
      </c>
      <c r="AN286" s="5"/>
      <c r="AO286" s="7"/>
    </row>
    <row r="287" spans="1:41" ht="15.75" customHeight="1" x14ac:dyDescent="0.25">
      <c r="A287" s="4">
        <v>286</v>
      </c>
      <c r="B287" s="5" t="s">
        <v>617</v>
      </c>
      <c r="C287" s="58">
        <v>4.7</v>
      </c>
      <c r="D287" s="61" t="s">
        <v>618</v>
      </c>
      <c r="E287" s="72" t="s">
        <v>273</v>
      </c>
      <c r="F287" s="62" t="s">
        <v>364</v>
      </c>
      <c r="G287" s="8" t="s">
        <v>81</v>
      </c>
      <c r="H287" s="8">
        <v>1996</v>
      </c>
      <c r="I287" s="62" t="s">
        <v>44</v>
      </c>
      <c r="J287" s="62" t="s">
        <v>45</v>
      </c>
      <c r="K287" s="62" t="s">
        <v>45</v>
      </c>
      <c r="L287" s="62" t="s">
        <v>101</v>
      </c>
      <c r="M287" s="62" t="s">
        <v>619</v>
      </c>
      <c r="N287" s="5">
        <v>0</v>
      </c>
      <c r="O287" s="8">
        <v>0</v>
      </c>
      <c r="P287" s="69">
        <v>42000</v>
      </c>
      <c r="Q287" s="69">
        <v>76000</v>
      </c>
      <c r="R287" s="69">
        <v>59000</v>
      </c>
      <c r="S287" s="62" t="s">
        <v>274</v>
      </c>
      <c r="T287" s="8">
        <f t="shared" si="12"/>
        <v>27</v>
      </c>
      <c r="U287" s="8">
        <v>1</v>
      </c>
      <c r="V287" s="8">
        <v>0</v>
      </c>
      <c r="W287" s="8">
        <v>0</v>
      </c>
      <c r="X287" s="8">
        <v>1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62" t="s">
        <v>132</v>
      </c>
      <c r="AL287" s="62" t="s">
        <v>50</v>
      </c>
      <c r="AM287" s="62" t="s">
        <v>77</v>
      </c>
      <c r="AN287" s="5"/>
      <c r="AO287" s="7"/>
    </row>
    <row r="288" spans="1:41" ht="15.75" customHeight="1" x14ac:dyDescent="0.25">
      <c r="A288" s="4">
        <v>287</v>
      </c>
      <c r="B288" s="5" t="s">
        <v>780</v>
      </c>
      <c r="C288" s="58">
        <v>4.2</v>
      </c>
      <c r="D288" s="61" t="s">
        <v>781</v>
      </c>
      <c r="E288" s="72" t="s">
        <v>98</v>
      </c>
      <c r="F288" s="62" t="s">
        <v>782</v>
      </c>
      <c r="G288" s="8" t="s">
        <v>81</v>
      </c>
      <c r="H288" s="8">
        <v>1987</v>
      </c>
      <c r="I288" s="62" t="s">
        <v>44</v>
      </c>
      <c r="J288" s="62" t="s">
        <v>100</v>
      </c>
      <c r="K288" s="62" t="s">
        <v>65</v>
      </c>
      <c r="L288" s="62" t="s">
        <v>180</v>
      </c>
      <c r="M288" s="62" t="s">
        <v>47</v>
      </c>
      <c r="N288" s="5">
        <v>0</v>
      </c>
      <c r="O288" s="8">
        <v>0</v>
      </c>
      <c r="P288" s="69">
        <v>37000</v>
      </c>
      <c r="Q288" s="69">
        <v>68000</v>
      </c>
      <c r="R288" s="69">
        <v>52500</v>
      </c>
      <c r="S288" s="62" t="s">
        <v>102</v>
      </c>
      <c r="T288" s="8">
        <f t="shared" si="12"/>
        <v>36</v>
      </c>
      <c r="U288" s="8">
        <v>1</v>
      </c>
      <c r="V288" s="8">
        <v>0</v>
      </c>
      <c r="W288" s="8">
        <v>0</v>
      </c>
      <c r="X288" s="8">
        <v>0</v>
      </c>
      <c r="Y288" s="8">
        <v>1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62" t="s">
        <v>1291</v>
      </c>
      <c r="AL288" s="62" t="s">
        <v>50</v>
      </c>
      <c r="AM288" s="62" t="s">
        <v>77</v>
      </c>
      <c r="AN288" s="5"/>
      <c r="AO288" s="7"/>
    </row>
    <row r="289" spans="1:41" ht="15.75" customHeight="1" x14ac:dyDescent="0.25">
      <c r="A289" s="4">
        <v>288</v>
      </c>
      <c r="B289" s="5" t="s">
        <v>224</v>
      </c>
      <c r="C289" s="58">
        <v>4.5999999999999996</v>
      </c>
      <c r="D289" s="61" t="s">
        <v>783</v>
      </c>
      <c r="E289" s="72" t="s">
        <v>413</v>
      </c>
      <c r="F289" s="62" t="s">
        <v>339</v>
      </c>
      <c r="G289" s="8" t="s">
        <v>43</v>
      </c>
      <c r="H289" s="8">
        <v>1982</v>
      </c>
      <c r="I289" s="62" t="s">
        <v>44</v>
      </c>
      <c r="J289" s="62" t="s">
        <v>213</v>
      </c>
      <c r="K289" s="62" t="s">
        <v>111</v>
      </c>
      <c r="L289" s="62" t="s">
        <v>46</v>
      </c>
      <c r="M289" s="62" t="s">
        <v>47</v>
      </c>
      <c r="N289" s="5">
        <v>0</v>
      </c>
      <c r="O289" s="8">
        <v>0</v>
      </c>
      <c r="P289" s="69">
        <v>52000</v>
      </c>
      <c r="Q289" s="69">
        <v>99000</v>
      </c>
      <c r="R289" s="69">
        <v>75500</v>
      </c>
      <c r="S289" s="62" t="s">
        <v>93</v>
      </c>
      <c r="T289" s="8">
        <f t="shared" si="12"/>
        <v>41</v>
      </c>
      <c r="U289" s="8">
        <v>0</v>
      </c>
      <c r="V289" s="8">
        <v>1</v>
      </c>
      <c r="W289" s="8">
        <v>0</v>
      </c>
      <c r="X289" s="8">
        <v>0</v>
      </c>
      <c r="Y289" s="8">
        <v>1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1</v>
      </c>
      <c r="AF289" s="8">
        <v>1</v>
      </c>
      <c r="AG289" s="8">
        <v>1</v>
      </c>
      <c r="AH289" s="8">
        <v>0</v>
      </c>
      <c r="AI289" s="8">
        <v>0</v>
      </c>
      <c r="AJ289" s="8">
        <v>0</v>
      </c>
      <c r="AK289" s="62" t="s">
        <v>146</v>
      </c>
      <c r="AL289" s="62" t="s">
        <v>50</v>
      </c>
      <c r="AM289" s="62" t="s">
        <v>77</v>
      </c>
      <c r="AN289" s="5"/>
      <c r="AO289" s="7"/>
    </row>
    <row r="290" spans="1:41" ht="15.75" customHeight="1" x14ac:dyDescent="0.25">
      <c r="A290" s="4">
        <v>289</v>
      </c>
      <c r="B290" s="5" t="s">
        <v>220</v>
      </c>
      <c r="C290" s="58">
        <v>3.7</v>
      </c>
      <c r="D290" s="61" t="s">
        <v>275</v>
      </c>
      <c r="E290" s="72" t="s">
        <v>276</v>
      </c>
      <c r="F290" s="62" t="s">
        <v>277</v>
      </c>
      <c r="G290" s="8" t="s">
        <v>56</v>
      </c>
      <c r="H290" s="8">
        <v>1863</v>
      </c>
      <c r="I290" s="62" t="s">
        <v>89</v>
      </c>
      <c r="J290" s="62" t="s">
        <v>168</v>
      </c>
      <c r="K290" s="62" t="s">
        <v>162</v>
      </c>
      <c r="L290" s="62" t="s">
        <v>128</v>
      </c>
      <c r="M290" s="62" t="s">
        <v>278</v>
      </c>
      <c r="N290" s="5">
        <v>0</v>
      </c>
      <c r="O290" s="8">
        <v>0</v>
      </c>
      <c r="P290" s="69">
        <v>105000</v>
      </c>
      <c r="Q290" s="69">
        <v>173000</v>
      </c>
      <c r="R290" s="69">
        <v>139000</v>
      </c>
      <c r="S290" s="62" t="s">
        <v>85</v>
      </c>
      <c r="T290" s="8">
        <f t="shared" si="12"/>
        <v>160</v>
      </c>
      <c r="U290" s="8">
        <v>1</v>
      </c>
      <c r="V290" s="8">
        <v>0</v>
      </c>
      <c r="W290" s="8">
        <v>0</v>
      </c>
      <c r="X290" s="8">
        <v>1</v>
      </c>
      <c r="Y290" s="8">
        <v>1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62" t="s">
        <v>49</v>
      </c>
      <c r="AL290" s="62" t="s">
        <v>169</v>
      </c>
      <c r="AM290" s="62" t="s">
        <v>51</v>
      </c>
      <c r="AN290" s="5"/>
      <c r="AO290" s="7"/>
    </row>
    <row r="291" spans="1:41" ht="15.75" customHeight="1" x14ac:dyDescent="0.25">
      <c r="A291" s="4">
        <v>290</v>
      </c>
      <c r="B291" s="5" t="s">
        <v>784</v>
      </c>
      <c r="C291" s="58">
        <v>3.7</v>
      </c>
      <c r="D291" s="61" t="s">
        <v>133</v>
      </c>
      <c r="E291" s="72" t="s">
        <v>134</v>
      </c>
      <c r="F291" s="62" t="s">
        <v>135</v>
      </c>
      <c r="G291" s="8" t="s">
        <v>56</v>
      </c>
      <c r="H291" s="8">
        <v>1781</v>
      </c>
      <c r="I291" s="62" t="s">
        <v>89</v>
      </c>
      <c r="J291" s="62" t="s">
        <v>136</v>
      </c>
      <c r="K291" s="62" t="s">
        <v>136</v>
      </c>
      <c r="L291" s="62" t="s">
        <v>128</v>
      </c>
      <c r="M291" s="62" t="s">
        <v>137</v>
      </c>
      <c r="N291" s="5">
        <v>0</v>
      </c>
      <c r="O291" s="8">
        <v>0</v>
      </c>
      <c r="P291" s="69">
        <v>71000</v>
      </c>
      <c r="Q291" s="69">
        <v>134000</v>
      </c>
      <c r="R291" s="69">
        <v>102500</v>
      </c>
      <c r="S291" s="62" t="s">
        <v>138</v>
      </c>
      <c r="T291" s="8">
        <f t="shared" si="12"/>
        <v>242</v>
      </c>
      <c r="U291" s="8">
        <v>1</v>
      </c>
      <c r="V291" s="8">
        <v>1</v>
      </c>
      <c r="W291" s="8">
        <v>1</v>
      </c>
      <c r="X291" s="8">
        <v>1</v>
      </c>
      <c r="Y291" s="8">
        <v>1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1</v>
      </c>
      <c r="AF291" s="8">
        <v>1</v>
      </c>
      <c r="AG291" s="8">
        <v>0</v>
      </c>
      <c r="AH291" s="8">
        <v>0</v>
      </c>
      <c r="AI291" s="8">
        <v>1</v>
      </c>
      <c r="AJ291" s="8">
        <v>0</v>
      </c>
      <c r="AK291" s="62" t="s">
        <v>146</v>
      </c>
      <c r="AL291" s="62" t="s">
        <v>50</v>
      </c>
      <c r="AM291" s="62" t="s">
        <v>77</v>
      </c>
      <c r="AN291" s="5"/>
      <c r="AO291" s="7"/>
    </row>
    <row r="292" spans="1:41" ht="15.75" customHeight="1" x14ac:dyDescent="0.25">
      <c r="A292" s="4">
        <v>291</v>
      </c>
      <c r="B292" s="5" t="s">
        <v>785</v>
      </c>
      <c r="C292" s="58">
        <v>4.4000000000000004</v>
      </c>
      <c r="D292" s="61" t="s">
        <v>786</v>
      </c>
      <c r="E292" s="72" t="s">
        <v>787</v>
      </c>
      <c r="F292" s="62" t="s">
        <v>420</v>
      </c>
      <c r="G292" s="8" t="s">
        <v>88</v>
      </c>
      <c r="H292" s="8">
        <v>1929</v>
      </c>
      <c r="I292" s="62" t="s">
        <v>44</v>
      </c>
      <c r="J292" s="62" t="s">
        <v>477</v>
      </c>
      <c r="K292" s="62" t="s">
        <v>65</v>
      </c>
      <c r="L292" s="62" t="s">
        <v>101</v>
      </c>
      <c r="M292" s="62" t="s">
        <v>788</v>
      </c>
      <c r="N292" s="5">
        <v>0</v>
      </c>
      <c r="O292" s="8">
        <v>0</v>
      </c>
      <c r="P292" s="69">
        <v>39000</v>
      </c>
      <c r="Q292" s="69">
        <v>82000</v>
      </c>
      <c r="R292" s="69">
        <v>60500</v>
      </c>
      <c r="S292" s="62" t="s">
        <v>789</v>
      </c>
      <c r="T292" s="8">
        <f t="shared" si="12"/>
        <v>94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62" t="s">
        <v>107</v>
      </c>
      <c r="AL292" s="62" t="s">
        <v>50</v>
      </c>
      <c r="AM292" s="62" t="s">
        <v>77</v>
      </c>
      <c r="AN292" s="5"/>
      <c r="AO292" s="7"/>
    </row>
    <row r="293" spans="1:41" ht="15.75" customHeight="1" x14ac:dyDescent="0.25">
      <c r="A293" s="4">
        <v>292</v>
      </c>
      <c r="B293" s="5" t="s">
        <v>620</v>
      </c>
      <c r="C293" s="58">
        <v>3.7</v>
      </c>
      <c r="D293" s="61" t="s">
        <v>192</v>
      </c>
      <c r="E293" s="72" t="s">
        <v>193</v>
      </c>
      <c r="F293" s="62" t="s">
        <v>193</v>
      </c>
      <c r="G293" s="8" t="s">
        <v>120</v>
      </c>
      <c r="H293" s="8">
        <v>1852</v>
      </c>
      <c r="I293" s="62" t="s">
        <v>89</v>
      </c>
      <c r="J293" s="62" t="s">
        <v>161</v>
      </c>
      <c r="K293" s="62" t="s">
        <v>162</v>
      </c>
      <c r="L293" s="62" t="s">
        <v>194</v>
      </c>
      <c r="M293" s="62" t="s">
        <v>47</v>
      </c>
      <c r="N293" s="5">
        <v>0</v>
      </c>
      <c r="O293" s="8">
        <v>0</v>
      </c>
      <c r="P293" s="69">
        <v>114000</v>
      </c>
      <c r="Q293" s="69">
        <v>179000</v>
      </c>
      <c r="R293" s="69">
        <v>146500</v>
      </c>
      <c r="S293" s="62" t="s">
        <v>138</v>
      </c>
      <c r="T293" s="8">
        <f t="shared" si="12"/>
        <v>171</v>
      </c>
      <c r="U293" s="8">
        <v>1</v>
      </c>
      <c r="V293" s="8">
        <v>0</v>
      </c>
      <c r="W293" s="8">
        <v>0</v>
      </c>
      <c r="X293" s="8">
        <v>1</v>
      </c>
      <c r="Y293" s="8">
        <v>1</v>
      </c>
      <c r="Z293" s="8">
        <v>1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62" t="s">
        <v>49</v>
      </c>
      <c r="AL293" s="62" t="s">
        <v>169</v>
      </c>
      <c r="AM293" s="62" t="s">
        <v>51</v>
      </c>
      <c r="AN293" s="5"/>
      <c r="AO293" s="7"/>
    </row>
    <row r="294" spans="1:41" ht="15.75" customHeight="1" x14ac:dyDescent="0.25">
      <c r="A294" s="4">
        <v>293</v>
      </c>
      <c r="B294" s="5" t="s">
        <v>790</v>
      </c>
      <c r="C294" s="58">
        <v>3.9</v>
      </c>
      <c r="D294" s="61" t="s">
        <v>553</v>
      </c>
      <c r="E294" s="72" t="s">
        <v>554</v>
      </c>
      <c r="F294" s="62" t="s">
        <v>555</v>
      </c>
      <c r="G294" s="8" t="s">
        <v>56</v>
      </c>
      <c r="H294" s="8">
        <v>1976</v>
      </c>
      <c r="I294" s="62" t="s">
        <v>142</v>
      </c>
      <c r="J294" s="62" t="s">
        <v>136</v>
      </c>
      <c r="K294" s="62" t="s">
        <v>136</v>
      </c>
      <c r="L294" s="62" t="s">
        <v>128</v>
      </c>
      <c r="M294" s="62" t="s">
        <v>47</v>
      </c>
      <c r="N294" s="5">
        <v>0</v>
      </c>
      <c r="O294" s="8">
        <v>0</v>
      </c>
      <c r="P294" s="69">
        <v>88000</v>
      </c>
      <c r="Q294" s="69">
        <v>162000</v>
      </c>
      <c r="R294" s="69">
        <v>125000</v>
      </c>
      <c r="S294" s="62" t="s">
        <v>102</v>
      </c>
      <c r="T294" s="8">
        <f t="shared" si="12"/>
        <v>47</v>
      </c>
      <c r="U294" s="8">
        <v>0</v>
      </c>
      <c r="V294" s="8">
        <v>0</v>
      </c>
      <c r="W294" s="8">
        <v>0</v>
      </c>
      <c r="X294" s="8">
        <v>1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62" t="s">
        <v>107</v>
      </c>
      <c r="AL294" s="62" t="s">
        <v>50</v>
      </c>
      <c r="AM294" s="62" t="s">
        <v>108</v>
      </c>
      <c r="AN294" s="5"/>
      <c r="AO294" s="7"/>
    </row>
    <row r="295" spans="1:41" ht="15.75" customHeight="1" x14ac:dyDescent="0.25">
      <c r="A295" s="4">
        <v>294</v>
      </c>
      <c r="B295" s="5" t="s">
        <v>791</v>
      </c>
      <c r="C295" s="58">
        <v>3.6</v>
      </c>
      <c r="D295" s="61" t="s">
        <v>550</v>
      </c>
      <c r="E295" s="72" t="s">
        <v>551</v>
      </c>
      <c r="F295" s="62" t="s">
        <v>551</v>
      </c>
      <c r="G295" s="8" t="s">
        <v>120</v>
      </c>
      <c r="H295" s="8">
        <v>1851</v>
      </c>
      <c r="I295" s="62" t="s">
        <v>44</v>
      </c>
      <c r="J295" s="62" t="s">
        <v>161</v>
      </c>
      <c r="K295" s="62" t="s">
        <v>162</v>
      </c>
      <c r="L295" s="62" t="s">
        <v>128</v>
      </c>
      <c r="M295" s="62" t="s">
        <v>47</v>
      </c>
      <c r="N295" s="5">
        <v>0</v>
      </c>
      <c r="O295" s="8">
        <v>0</v>
      </c>
      <c r="P295" s="69">
        <v>60000</v>
      </c>
      <c r="Q295" s="69">
        <v>102000</v>
      </c>
      <c r="R295" s="69">
        <v>81000</v>
      </c>
      <c r="S295" s="62" t="s">
        <v>138</v>
      </c>
      <c r="T295" s="8">
        <f t="shared" si="12"/>
        <v>172</v>
      </c>
      <c r="U295" s="8">
        <v>1</v>
      </c>
      <c r="V295" s="8">
        <v>0</v>
      </c>
      <c r="W295" s="8">
        <v>0</v>
      </c>
      <c r="X295" s="8">
        <v>0</v>
      </c>
      <c r="Y295" s="8">
        <v>1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1</v>
      </c>
      <c r="AG295" s="8">
        <v>0</v>
      </c>
      <c r="AH295" s="8">
        <v>0</v>
      </c>
      <c r="AI295" s="8">
        <v>0</v>
      </c>
      <c r="AJ295" s="8">
        <v>0</v>
      </c>
      <c r="AK295" s="62" t="s">
        <v>132</v>
      </c>
      <c r="AL295" s="62" t="s">
        <v>169</v>
      </c>
      <c r="AM295" s="62" t="s">
        <v>77</v>
      </c>
      <c r="AN295" s="5"/>
      <c r="AO295" s="7"/>
    </row>
    <row r="296" spans="1:41" ht="15.75" customHeight="1" x14ac:dyDescent="0.25">
      <c r="A296" s="4">
        <v>295</v>
      </c>
      <c r="B296" s="5" t="s">
        <v>624</v>
      </c>
      <c r="C296" s="58">
        <v>3</v>
      </c>
      <c r="D296" s="61" t="s">
        <v>625</v>
      </c>
      <c r="E296" s="72" t="s">
        <v>172</v>
      </c>
      <c r="F296" s="62" t="s">
        <v>172</v>
      </c>
      <c r="G296" s="8" t="s">
        <v>43</v>
      </c>
      <c r="H296" s="8">
        <v>2015</v>
      </c>
      <c r="I296" s="62" t="s">
        <v>44</v>
      </c>
      <c r="J296" s="62" t="s">
        <v>136</v>
      </c>
      <c r="K296" s="62" t="s">
        <v>136</v>
      </c>
      <c r="L296" s="62" t="s">
        <v>83</v>
      </c>
      <c r="M296" s="62" t="s">
        <v>47</v>
      </c>
      <c r="N296" s="5">
        <v>0</v>
      </c>
      <c r="O296" s="8">
        <v>0</v>
      </c>
      <c r="P296" s="69">
        <v>100000</v>
      </c>
      <c r="Q296" s="69">
        <v>166000</v>
      </c>
      <c r="R296" s="69">
        <v>133000</v>
      </c>
      <c r="S296" s="62" t="s">
        <v>176</v>
      </c>
      <c r="T296" s="8">
        <f t="shared" si="12"/>
        <v>8</v>
      </c>
      <c r="U296" s="8">
        <v>1</v>
      </c>
      <c r="V296" s="8">
        <v>0</v>
      </c>
      <c r="W296" s="8">
        <v>1</v>
      </c>
      <c r="X296" s="8">
        <v>0</v>
      </c>
      <c r="Y296" s="8">
        <v>1</v>
      </c>
      <c r="Z296" s="8">
        <v>0</v>
      </c>
      <c r="AA296" s="8">
        <v>0</v>
      </c>
      <c r="AB296" s="8">
        <v>1</v>
      </c>
      <c r="AC296" s="8">
        <v>1</v>
      </c>
      <c r="AD296" s="8">
        <v>1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62" t="s">
        <v>508</v>
      </c>
      <c r="AL296" s="62" t="s">
        <v>169</v>
      </c>
      <c r="AM296" s="62" t="s">
        <v>108</v>
      </c>
      <c r="AN296" s="5"/>
      <c r="AO296" s="7"/>
    </row>
    <row r="297" spans="1:41" ht="15.75" customHeight="1" x14ac:dyDescent="0.25">
      <c r="A297" s="4">
        <v>296</v>
      </c>
      <c r="B297" s="5" t="s">
        <v>792</v>
      </c>
      <c r="C297" s="58">
        <v>3.4</v>
      </c>
      <c r="D297" s="61" t="s">
        <v>390</v>
      </c>
      <c r="E297" s="72" t="s">
        <v>243</v>
      </c>
      <c r="F297" s="62" t="s">
        <v>392</v>
      </c>
      <c r="G297" s="8" t="s">
        <v>56</v>
      </c>
      <c r="H297" s="8">
        <v>1996</v>
      </c>
      <c r="I297" s="62" t="s">
        <v>142</v>
      </c>
      <c r="J297" s="62" t="s">
        <v>213</v>
      </c>
      <c r="K297" s="62" t="s">
        <v>111</v>
      </c>
      <c r="L297" s="62" t="s">
        <v>128</v>
      </c>
      <c r="M297" s="62" t="s">
        <v>393</v>
      </c>
      <c r="N297" s="5">
        <v>0</v>
      </c>
      <c r="O297" s="8">
        <v>0</v>
      </c>
      <c r="P297" s="69">
        <v>55000</v>
      </c>
      <c r="Q297" s="69">
        <v>99000</v>
      </c>
      <c r="R297" s="69">
        <v>77000</v>
      </c>
      <c r="S297" s="62" t="s">
        <v>245</v>
      </c>
      <c r="T297" s="8">
        <f t="shared" si="12"/>
        <v>27</v>
      </c>
      <c r="U297" s="8">
        <v>0</v>
      </c>
      <c r="V297" s="8">
        <v>0</v>
      </c>
      <c r="W297" s="8">
        <v>0</v>
      </c>
      <c r="X297" s="8">
        <v>1</v>
      </c>
      <c r="Y297" s="8">
        <v>1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1</v>
      </c>
      <c r="AG297" s="8">
        <v>0</v>
      </c>
      <c r="AH297" s="8">
        <v>0</v>
      </c>
      <c r="AI297" s="8">
        <v>0</v>
      </c>
      <c r="AJ297" s="8">
        <v>0</v>
      </c>
      <c r="AK297" s="62" t="s">
        <v>132</v>
      </c>
      <c r="AL297" s="62" t="s">
        <v>50</v>
      </c>
      <c r="AM297" s="62" t="s">
        <v>51</v>
      </c>
      <c r="AN297" s="5"/>
      <c r="AO297" s="7"/>
    </row>
    <row r="298" spans="1:41" ht="15.75" customHeight="1" x14ac:dyDescent="0.25">
      <c r="A298" s="4">
        <v>297</v>
      </c>
      <c r="B298" s="5" t="s">
        <v>224</v>
      </c>
      <c r="C298" s="58">
        <v>4.0999999999999996</v>
      </c>
      <c r="D298" s="61" t="s">
        <v>117</v>
      </c>
      <c r="E298" s="72" t="s">
        <v>119</v>
      </c>
      <c r="F298" s="62" t="s">
        <v>119</v>
      </c>
      <c r="G298" s="8" t="s">
        <v>120</v>
      </c>
      <c r="H298" s="8">
        <v>1968</v>
      </c>
      <c r="I298" s="62" t="s">
        <v>89</v>
      </c>
      <c r="J298" s="62" t="s">
        <v>121</v>
      </c>
      <c r="K298" s="62" t="s">
        <v>65</v>
      </c>
      <c r="L298" s="62" t="s">
        <v>91</v>
      </c>
      <c r="M298" s="62" t="s">
        <v>47</v>
      </c>
      <c r="N298" s="5">
        <v>0</v>
      </c>
      <c r="O298" s="8">
        <v>0</v>
      </c>
      <c r="P298" s="69">
        <v>67000</v>
      </c>
      <c r="Q298" s="69">
        <v>117000</v>
      </c>
      <c r="R298" s="69">
        <v>92000</v>
      </c>
      <c r="S298" s="62" t="s">
        <v>122</v>
      </c>
      <c r="T298" s="8">
        <f t="shared" si="12"/>
        <v>55</v>
      </c>
      <c r="U298" s="8">
        <v>0</v>
      </c>
      <c r="V298" s="8">
        <v>0</v>
      </c>
      <c r="W298" s="8">
        <v>0</v>
      </c>
      <c r="X298" s="8">
        <v>0</v>
      </c>
      <c r="Y298" s="8">
        <v>1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1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62" t="s">
        <v>146</v>
      </c>
      <c r="AL298" s="62" t="s">
        <v>50</v>
      </c>
      <c r="AM298" s="62" t="s">
        <v>77</v>
      </c>
      <c r="AN298" s="5"/>
      <c r="AO298" s="7"/>
    </row>
    <row r="299" spans="1:41" ht="15.75" customHeight="1" x14ac:dyDescent="0.25">
      <c r="A299" s="4">
        <v>298</v>
      </c>
      <c r="B299" s="5" t="s">
        <v>793</v>
      </c>
      <c r="C299" s="58">
        <v>3.8</v>
      </c>
      <c r="D299" s="61" t="s">
        <v>202</v>
      </c>
      <c r="E299" s="72" t="s">
        <v>134</v>
      </c>
      <c r="F299" s="62" t="s">
        <v>203</v>
      </c>
      <c r="G299" s="8" t="s">
        <v>56</v>
      </c>
      <c r="H299" s="8">
        <v>1996</v>
      </c>
      <c r="I299" s="62" t="s">
        <v>89</v>
      </c>
      <c r="J299" s="62" t="s">
        <v>136</v>
      </c>
      <c r="K299" s="62" t="s">
        <v>136</v>
      </c>
      <c r="L299" s="62" t="s">
        <v>128</v>
      </c>
      <c r="M299" s="62" t="s">
        <v>47</v>
      </c>
      <c r="N299" s="5">
        <v>0</v>
      </c>
      <c r="O299" s="8">
        <v>0</v>
      </c>
      <c r="P299" s="69">
        <v>92000</v>
      </c>
      <c r="Q299" s="69">
        <v>150000</v>
      </c>
      <c r="R299" s="69">
        <v>121000</v>
      </c>
      <c r="S299" s="62" t="s">
        <v>138</v>
      </c>
      <c r="T299" s="8">
        <f t="shared" si="12"/>
        <v>27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62" t="s">
        <v>49</v>
      </c>
      <c r="AL299" s="62" t="s">
        <v>169</v>
      </c>
      <c r="AM299" s="62" t="s">
        <v>77</v>
      </c>
      <c r="AN299" s="5"/>
      <c r="AO299" s="7"/>
    </row>
    <row r="300" spans="1:41" ht="15.75" customHeight="1" x14ac:dyDescent="0.25">
      <c r="A300" s="4">
        <v>299</v>
      </c>
      <c r="B300" s="5" t="s">
        <v>794</v>
      </c>
      <c r="C300" s="58">
        <v>4</v>
      </c>
      <c r="D300" s="61" t="s">
        <v>446</v>
      </c>
      <c r="E300" s="72" t="s">
        <v>98</v>
      </c>
      <c r="F300" s="62" t="s">
        <v>447</v>
      </c>
      <c r="G300" s="8" t="s">
        <v>120</v>
      </c>
      <c r="H300" s="8">
        <v>1982</v>
      </c>
      <c r="I300" s="62" t="s">
        <v>89</v>
      </c>
      <c r="J300" s="62" t="s">
        <v>216</v>
      </c>
      <c r="K300" s="62" t="s">
        <v>111</v>
      </c>
      <c r="L300" s="62" t="s">
        <v>60</v>
      </c>
      <c r="M300" s="62" t="s">
        <v>47</v>
      </c>
      <c r="N300" s="5">
        <v>0</v>
      </c>
      <c r="O300" s="8">
        <v>0</v>
      </c>
      <c r="P300" s="69">
        <v>116000</v>
      </c>
      <c r="Q300" s="69">
        <v>209000</v>
      </c>
      <c r="R300" s="69">
        <v>162500</v>
      </c>
      <c r="S300" s="62" t="s">
        <v>102</v>
      </c>
      <c r="T300" s="8">
        <f t="shared" si="12"/>
        <v>41</v>
      </c>
      <c r="U300" s="8">
        <v>1</v>
      </c>
      <c r="V300" s="8">
        <v>1</v>
      </c>
      <c r="W300" s="8">
        <v>0</v>
      </c>
      <c r="X300" s="8">
        <v>1</v>
      </c>
      <c r="Y300" s="8">
        <v>1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62" t="s">
        <v>146</v>
      </c>
      <c r="AL300" s="62" t="s">
        <v>169</v>
      </c>
      <c r="AM300" s="62" t="s">
        <v>77</v>
      </c>
      <c r="AN300" s="5"/>
      <c r="AO300" s="7"/>
    </row>
    <row r="301" spans="1:41" ht="15.75" customHeight="1" x14ac:dyDescent="0.25">
      <c r="A301" s="4">
        <v>300</v>
      </c>
      <c r="B301" s="5" t="s">
        <v>795</v>
      </c>
      <c r="C301" s="58">
        <v>3.9</v>
      </c>
      <c r="D301" s="61" t="s">
        <v>796</v>
      </c>
      <c r="E301" s="72" t="s">
        <v>797</v>
      </c>
      <c r="F301" s="62" t="s">
        <v>798</v>
      </c>
      <c r="G301" s="8" t="s">
        <v>70</v>
      </c>
      <c r="H301" s="8">
        <v>1947</v>
      </c>
      <c r="I301" s="62" t="s">
        <v>160</v>
      </c>
      <c r="J301" s="62" t="s">
        <v>121</v>
      </c>
      <c r="K301" s="62" t="s">
        <v>65</v>
      </c>
      <c r="L301" s="62" t="s">
        <v>74</v>
      </c>
      <c r="M301" s="62" t="s">
        <v>799</v>
      </c>
      <c r="N301" s="5">
        <v>0</v>
      </c>
      <c r="O301" s="8">
        <v>0</v>
      </c>
      <c r="P301" s="69">
        <v>38000</v>
      </c>
      <c r="Q301" s="69">
        <v>82000</v>
      </c>
      <c r="R301" s="69">
        <v>60000</v>
      </c>
      <c r="S301" s="62" t="s">
        <v>93</v>
      </c>
      <c r="T301" s="8">
        <f t="shared" si="12"/>
        <v>76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62" t="s">
        <v>107</v>
      </c>
      <c r="AL301" s="62" t="s">
        <v>50</v>
      </c>
      <c r="AM301" s="62" t="s">
        <v>77</v>
      </c>
      <c r="AN301" s="5"/>
      <c r="AO301" s="7"/>
    </row>
    <row r="302" spans="1:41" ht="15.75" customHeight="1" x14ac:dyDescent="0.25">
      <c r="A302" s="4">
        <v>301</v>
      </c>
      <c r="B302" s="5" t="s">
        <v>800</v>
      </c>
      <c r="C302" s="58">
        <v>0</v>
      </c>
      <c r="D302" s="61" t="s">
        <v>801</v>
      </c>
      <c r="E302" s="72" t="s">
        <v>98</v>
      </c>
      <c r="F302" s="62" t="s">
        <v>114</v>
      </c>
      <c r="G302" s="8" t="s">
        <v>88</v>
      </c>
      <c r="H302" s="8" t="s">
        <v>47</v>
      </c>
      <c r="I302" s="62" t="s">
        <v>160</v>
      </c>
      <c r="J302" s="62" t="s">
        <v>47</v>
      </c>
      <c r="K302" s="62" t="s">
        <v>47</v>
      </c>
      <c r="L302" s="62" t="s">
        <v>83</v>
      </c>
      <c r="M302" s="62" t="s">
        <v>47</v>
      </c>
      <c r="N302" s="5">
        <v>0</v>
      </c>
      <c r="O302" s="8">
        <v>1</v>
      </c>
      <c r="P302" s="69">
        <v>85000</v>
      </c>
      <c r="Q302" s="69">
        <v>90000</v>
      </c>
      <c r="R302" s="69">
        <v>87500</v>
      </c>
      <c r="S302" s="62" t="s">
        <v>102</v>
      </c>
      <c r="T302" s="8" t="s">
        <v>47</v>
      </c>
      <c r="U302" s="8">
        <v>1</v>
      </c>
      <c r="V302" s="8">
        <v>0</v>
      </c>
      <c r="W302" s="8">
        <v>0</v>
      </c>
      <c r="X302" s="8">
        <v>1</v>
      </c>
      <c r="Y302" s="8">
        <v>1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1</v>
      </c>
      <c r="AG302" s="8">
        <v>0</v>
      </c>
      <c r="AH302" s="8">
        <v>0</v>
      </c>
      <c r="AI302" s="8">
        <v>0</v>
      </c>
      <c r="AJ302" s="8">
        <v>0</v>
      </c>
      <c r="AK302" s="62" t="s">
        <v>107</v>
      </c>
      <c r="AL302" s="62" t="s">
        <v>169</v>
      </c>
      <c r="AM302" s="62" t="s">
        <v>51</v>
      </c>
      <c r="AN302" s="5"/>
      <c r="AO302" s="7"/>
    </row>
    <row r="303" spans="1:41" ht="15.75" customHeight="1" x14ac:dyDescent="0.25">
      <c r="A303" s="4">
        <v>302</v>
      </c>
      <c r="B303" s="5" t="s">
        <v>802</v>
      </c>
      <c r="C303" s="58">
        <v>4.4000000000000004</v>
      </c>
      <c r="D303" s="61" t="s">
        <v>323</v>
      </c>
      <c r="E303" s="72" t="s">
        <v>324</v>
      </c>
      <c r="F303" s="62" t="s">
        <v>325</v>
      </c>
      <c r="G303" s="8">
        <v>500</v>
      </c>
      <c r="H303" s="8">
        <v>2015</v>
      </c>
      <c r="I303" s="62" t="s">
        <v>44</v>
      </c>
      <c r="J303" s="62" t="s">
        <v>155</v>
      </c>
      <c r="K303" s="62" t="s">
        <v>111</v>
      </c>
      <c r="L303" s="62" t="s">
        <v>83</v>
      </c>
      <c r="M303" s="62" t="s">
        <v>47</v>
      </c>
      <c r="N303" s="5">
        <v>0</v>
      </c>
      <c r="O303" s="8">
        <v>0</v>
      </c>
      <c r="P303" s="69">
        <v>62000</v>
      </c>
      <c r="Q303" s="69">
        <v>119000</v>
      </c>
      <c r="R303" s="69">
        <v>90500</v>
      </c>
      <c r="S303" s="62" t="s">
        <v>326</v>
      </c>
      <c r="T303" s="8">
        <f t="shared" ref="T303:T306" si="13">2023-H303</f>
        <v>8</v>
      </c>
      <c r="U303" s="8">
        <v>1</v>
      </c>
      <c r="V303" s="8">
        <v>1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1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62" t="s">
        <v>146</v>
      </c>
      <c r="AL303" s="62" t="s">
        <v>50</v>
      </c>
      <c r="AM303" s="62" t="s">
        <v>77</v>
      </c>
      <c r="AN303" s="5"/>
      <c r="AO303" s="7"/>
    </row>
    <row r="304" spans="1:41" ht="15.75" customHeight="1" x14ac:dyDescent="0.25">
      <c r="A304" s="4">
        <v>303</v>
      </c>
      <c r="B304" s="5" t="s">
        <v>201</v>
      </c>
      <c r="C304" s="58">
        <v>3.8</v>
      </c>
      <c r="D304" s="61" t="s">
        <v>202</v>
      </c>
      <c r="E304" s="72" t="s">
        <v>134</v>
      </c>
      <c r="F304" s="62" t="s">
        <v>203</v>
      </c>
      <c r="G304" s="8" t="s">
        <v>56</v>
      </c>
      <c r="H304" s="8">
        <v>1996</v>
      </c>
      <c r="I304" s="62" t="s">
        <v>89</v>
      </c>
      <c r="J304" s="62" t="s">
        <v>136</v>
      </c>
      <c r="K304" s="62" t="s">
        <v>136</v>
      </c>
      <c r="L304" s="62" t="s">
        <v>128</v>
      </c>
      <c r="M304" s="62" t="s">
        <v>47</v>
      </c>
      <c r="N304" s="5">
        <v>0</v>
      </c>
      <c r="O304" s="8">
        <v>0</v>
      </c>
      <c r="P304" s="69">
        <v>86000</v>
      </c>
      <c r="Q304" s="69">
        <v>143000</v>
      </c>
      <c r="R304" s="69">
        <v>114500</v>
      </c>
      <c r="S304" s="62" t="s">
        <v>138</v>
      </c>
      <c r="T304" s="8">
        <f t="shared" si="13"/>
        <v>27</v>
      </c>
      <c r="U304" s="8">
        <v>1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1</v>
      </c>
      <c r="AC304" s="8">
        <v>1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62" t="s">
        <v>49</v>
      </c>
      <c r="AL304" s="62" t="s">
        <v>50</v>
      </c>
      <c r="AM304" s="62" t="s">
        <v>77</v>
      </c>
      <c r="AN304" s="5"/>
      <c r="AO304" s="7"/>
    </row>
    <row r="305" spans="1:41" ht="15.75" customHeight="1" x14ac:dyDescent="0.25">
      <c r="A305" s="4">
        <v>304</v>
      </c>
      <c r="B305" s="5" t="s">
        <v>39</v>
      </c>
      <c r="C305" s="58">
        <v>3.8</v>
      </c>
      <c r="D305" s="61" t="s">
        <v>204</v>
      </c>
      <c r="E305" s="72" t="s">
        <v>205</v>
      </c>
      <c r="F305" s="62" t="s">
        <v>205</v>
      </c>
      <c r="G305" s="8" t="s">
        <v>120</v>
      </c>
      <c r="H305" s="8">
        <v>1996</v>
      </c>
      <c r="I305" s="62" t="s">
        <v>89</v>
      </c>
      <c r="J305" s="62" t="s">
        <v>206</v>
      </c>
      <c r="K305" s="62" t="s">
        <v>207</v>
      </c>
      <c r="L305" s="62" t="s">
        <v>60</v>
      </c>
      <c r="M305" s="62" t="s">
        <v>47</v>
      </c>
      <c r="N305" s="5">
        <v>0</v>
      </c>
      <c r="O305" s="8">
        <v>0</v>
      </c>
      <c r="P305" s="69">
        <v>93000</v>
      </c>
      <c r="Q305" s="69">
        <v>149000</v>
      </c>
      <c r="R305" s="69">
        <v>121000</v>
      </c>
      <c r="S305" s="62" t="s">
        <v>102</v>
      </c>
      <c r="T305" s="8">
        <f t="shared" si="13"/>
        <v>27</v>
      </c>
      <c r="U305" s="8">
        <v>1</v>
      </c>
      <c r="V305" s="8">
        <v>1</v>
      </c>
      <c r="W305" s="8">
        <v>0</v>
      </c>
      <c r="X305" s="8">
        <v>1</v>
      </c>
      <c r="Y305" s="8">
        <v>1</v>
      </c>
      <c r="Z305" s="8">
        <v>0</v>
      </c>
      <c r="AA305" s="8">
        <v>1</v>
      </c>
      <c r="AB305" s="8">
        <v>0</v>
      </c>
      <c r="AC305" s="8">
        <v>1</v>
      </c>
      <c r="AD305" s="8">
        <v>1</v>
      </c>
      <c r="AE305" s="8">
        <v>0</v>
      </c>
      <c r="AF305" s="8">
        <v>0</v>
      </c>
      <c r="AG305" s="8">
        <v>0</v>
      </c>
      <c r="AH305" s="8">
        <v>0</v>
      </c>
      <c r="AI305" s="8">
        <v>1</v>
      </c>
      <c r="AJ305" s="8">
        <v>0</v>
      </c>
      <c r="AK305" s="62" t="s">
        <v>49</v>
      </c>
      <c r="AL305" s="62" t="s">
        <v>50</v>
      </c>
      <c r="AM305" s="62" t="s">
        <v>51</v>
      </c>
      <c r="AN305" s="5"/>
      <c r="AO305" s="7"/>
    </row>
    <row r="306" spans="1:41" ht="15.75" customHeight="1" x14ac:dyDescent="0.25">
      <c r="A306" s="4">
        <v>305</v>
      </c>
      <c r="B306" s="5" t="s">
        <v>220</v>
      </c>
      <c r="C306" s="58">
        <v>2.2000000000000002</v>
      </c>
      <c r="D306" s="61" t="s">
        <v>803</v>
      </c>
      <c r="E306" s="72" t="s">
        <v>87</v>
      </c>
      <c r="F306" s="62" t="s">
        <v>159</v>
      </c>
      <c r="G306" s="8" t="s">
        <v>43</v>
      </c>
      <c r="H306" s="8">
        <v>1993</v>
      </c>
      <c r="I306" s="62" t="s">
        <v>142</v>
      </c>
      <c r="J306" s="62" t="s">
        <v>82</v>
      </c>
      <c r="K306" s="62" t="s">
        <v>65</v>
      </c>
      <c r="L306" s="62" t="s">
        <v>46</v>
      </c>
      <c r="M306" s="62" t="s">
        <v>804</v>
      </c>
      <c r="N306" s="5">
        <v>0</v>
      </c>
      <c r="O306" s="8">
        <v>0</v>
      </c>
      <c r="P306" s="69">
        <v>84000</v>
      </c>
      <c r="Q306" s="69">
        <v>136000</v>
      </c>
      <c r="R306" s="69">
        <v>110000</v>
      </c>
      <c r="S306" s="62" t="s">
        <v>93</v>
      </c>
      <c r="T306" s="8">
        <f t="shared" si="13"/>
        <v>30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1</v>
      </c>
      <c r="AG306" s="8">
        <v>0</v>
      </c>
      <c r="AH306" s="8">
        <v>0</v>
      </c>
      <c r="AI306" s="8">
        <v>0</v>
      </c>
      <c r="AJ306" s="8">
        <v>0</v>
      </c>
      <c r="AK306" s="62" t="s">
        <v>49</v>
      </c>
      <c r="AL306" s="62" t="s">
        <v>169</v>
      </c>
      <c r="AM306" s="62" t="s">
        <v>51</v>
      </c>
      <c r="AN306" s="5"/>
      <c r="AO306" s="7"/>
    </row>
    <row r="307" spans="1:41" ht="15.75" customHeight="1" x14ac:dyDescent="0.25">
      <c r="A307" s="4">
        <v>306</v>
      </c>
      <c r="B307" s="5" t="s">
        <v>621</v>
      </c>
      <c r="C307" s="58">
        <v>2.9</v>
      </c>
      <c r="D307" s="61" t="s">
        <v>622</v>
      </c>
      <c r="E307" s="72" t="s">
        <v>623</v>
      </c>
      <c r="F307" s="62" t="s">
        <v>623</v>
      </c>
      <c r="G307" s="8" t="s">
        <v>88</v>
      </c>
      <c r="H307" s="8" t="s">
        <v>47</v>
      </c>
      <c r="I307" s="62" t="s">
        <v>89</v>
      </c>
      <c r="J307" s="62" t="s">
        <v>136</v>
      </c>
      <c r="K307" s="62" t="s">
        <v>136</v>
      </c>
      <c r="L307" s="62" t="s">
        <v>83</v>
      </c>
      <c r="M307" s="62" t="s">
        <v>47</v>
      </c>
      <c r="N307" s="5">
        <v>0</v>
      </c>
      <c r="O307" s="8">
        <v>0</v>
      </c>
      <c r="P307" s="69">
        <v>60000</v>
      </c>
      <c r="Q307" s="69">
        <v>123000</v>
      </c>
      <c r="R307" s="69">
        <v>91500</v>
      </c>
      <c r="S307" s="62" t="s">
        <v>138</v>
      </c>
      <c r="T307" s="8" t="s">
        <v>47</v>
      </c>
      <c r="U307" s="8">
        <v>0</v>
      </c>
      <c r="V307" s="8">
        <v>0</v>
      </c>
      <c r="W307" s="8">
        <v>0</v>
      </c>
      <c r="X307" s="8">
        <v>1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62" t="s">
        <v>107</v>
      </c>
      <c r="AL307" s="62" t="s">
        <v>50</v>
      </c>
      <c r="AM307" s="62" t="s">
        <v>108</v>
      </c>
      <c r="AN307" s="5"/>
      <c r="AO307" s="7"/>
    </row>
    <row r="308" spans="1:41" ht="15.75" customHeight="1" x14ac:dyDescent="0.25">
      <c r="A308" s="4">
        <v>307</v>
      </c>
      <c r="B308" s="5" t="s">
        <v>805</v>
      </c>
      <c r="C308" s="58">
        <v>4.0999999999999996</v>
      </c>
      <c r="D308" s="61" t="s">
        <v>117</v>
      </c>
      <c r="E308" s="72" t="s">
        <v>806</v>
      </c>
      <c r="F308" s="62" t="s">
        <v>119</v>
      </c>
      <c r="G308" s="8" t="s">
        <v>120</v>
      </c>
      <c r="H308" s="8">
        <v>1968</v>
      </c>
      <c r="I308" s="62" t="s">
        <v>89</v>
      </c>
      <c r="J308" s="62" t="s">
        <v>121</v>
      </c>
      <c r="K308" s="62" t="s">
        <v>65</v>
      </c>
      <c r="L308" s="62" t="s">
        <v>91</v>
      </c>
      <c r="M308" s="62" t="s">
        <v>47</v>
      </c>
      <c r="N308" s="5">
        <v>0</v>
      </c>
      <c r="O308" s="8">
        <v>0</v>
      </c>
      <c r="P308" s="69">
        <v>52000</v>
      </c>
      <c r="Q308" s="69">
        <v>89000</v>
      </c>
      <c r="R308" s="69">
        <v>70500</v>
      </c>
      <c r="S308" s="62" t="s">
        <v>122</v>
      </c>
      <c r="T308" s="8">
        <f>2023-H308</f>
        <v>55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62" t="s">
        <v>132</v>
      </c>
      <c r="AL308" s="62" t="s">
        <v>50</v>
      </c>
      <c r="AM308" s="62" t="s">
        <v>77</v>
      </c>
      <c r="AN308" s="5"/>
      <c r="AO308" s="7"/>
    </row>
    <row r="309" spans="1:41" ht="15.75" customHeight="1" x14ac:dyDescent="0.25">
      <c r="A309" s="4">
        <v>308</v>
      </c>
      <c r="B309" s="5" t="s">
        <v>224</v>
      </c>
      <c r="C309" s="58">
        <v>3.7</v>
      </c>
      <c r="D309" s="61" t="s">
        <v>629</v>
      </c>
      <c r="E309" s="72" t="s">
        <v>630</v>
      </c>
      <c r="F309" s="62" t="s">
        <v>159</v>
      </c>
      <c r="G309" s="8" t="s">
        <v>43</v>
      </c>
      <c r="H309" s="8" t="s">
        <v>47</v>
      </c>
      <c r="I309" s="62" t="s">
        <v>44</v>
      </c>
      <c r="J309" s="62" t="s">
        <v>216</v>
      </c>
      <c r="K309" s="62" t="s">
        <v>111</v>
      </c>
      <c r="L309" s="62" t="s">
        <v>83</v>
      </c>
      <c r="M309" s="62" t="s">
        <v>47</v>
      </c>
      <c r="N309" s="5">
        <v>0</v>
      </c>
      <c r="O309" s="8">
        <v>0</v>
      </c>
      <c r="P309" s="69">
        <v>48000</v>
      </c>
      <c r="Q309" s="69">
        <v>93000</v>
      </c>
      <c r="R309" s="69">
        <v>70500</v>
      </c>
      <c r="S309" s="62" t="s">
        <v>375</v>
      </c>
      <c r="T309" s="8" t="s">
        <v>47</v>
      </c>
      <c r="U309" s="8">
        <v>0</v>
      </c>
      <c r="V309" s="8">
        <v>0</v>
      </c>
      <c r="W309" s="8">
        <v>0</v>
      </c>
      <c r="X309" s="8">
        <v>1</v>
      </c>
      <c r="Y309" s="8">
        <v>1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62" t="s">
        <v>146</v>
      </c>
      <c r="AL309" s="62" t="s">
        <v>50</v>
      </c>
      <c r="AM309" s="62" t="s">
        <v>77</v>
      </c>
      <c r="AN309" s="5"/>
      <c r="AO309" s="7"/>
    </row>
    <row r="310" spans="1:41" ht="15.75" customHeight="1" x14ac:dyDescent="0.25">
      <c r="A310" s="4">
        <v>309</v>
      </c>
      <c r="B310" s="5" t="s">
        <v>807</v>
      </c>
      <c r="C310" s="58">
        <v>3.8</v>
      </c>
      <c r="D310" s="61" t="s">
        <v>68</v>
      </c>
      <c r="E310" s="72" t="s">
        <v>69</v>
      </c>
      <c r="F310" s="62" t="s">
        <v>69</v>
      </c>
      <c r="G310" s="8" t="s">
        <v>70</v>
      </c>
      <c r="H310" s="8">
        <v>1965</v>
      </c>
      <c r="I310" s="62" t="s">
        <v>71</v>
      </c>
      <c r="J310" s="62" t="s">
        <v>72</v>
      </c>
      <c r="K310" s="62" t="s">
        <v>73</v>
      </c>
      <c r="L310" s="62" t="s">
        <v>74</v>
      </c>
      <c r="M310" s="62" t="s">
        <v>75</v>
      </c>
      <c r="N310" s="5">
        <v>0</v>
      </c>
      <c r="O310" s="8">
        <v>0</v>
      </c>
      <c r="P310" s="69">
        <v>56000</v>
      </c>
      <c r="Q310" s="69">
        <v>97000</v>
      </c>
      <c r="R310" s="69">
        <v>76500</v>
      </c>
      <c r="S310" s="62" t="s">
        <v>76</v>
      </c>
      <c r="T310" s="8">
        <f t="shared" ref="T310:T340" si="14">2023-H310</f>
        <v>58</v>
      </c>
      <c r="U310" s="8">
        <v>1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62" t="s">
        <v>49</v>
      </c>
      <c r="AL310" s="62" t="s">
        <v>50</v>
      </c>
      <c r="AM310" s="62" t="s">
        <v>108</v>
      </c>
      <c r="AN310" s="5"/>
      <c r="AO310" s="7"/>
    </row>
    <row r="311" spans="1:41" ht="15.75" customHeight="1" x14ac:dyDescent="0.25">
      <c r="A311" s="4">
        <v>310</v>
      </c>
      <c r="B311" s="5" t="s">
        <v>224</v>
      </c>
      <c r="C311" s="58">
        <v>3.6</v>
      </c>
      <c r="D311" s="61" t="s">
        <v>550</v>
      </c>
      <c r="E311" s="72" t="s">
        <v>551</v>
      </c>
      <c r="F311" s="62" t="s">
        <v>551</v>
      </c>
      <c r="G311" s="8" t="s">
        <v>120</v>
      </c>
      <c r="H311" s="8">
        <v>1851</v>
      </c>
      <c r="I311" s="62" t="s">
        <v>44</v>
      </c>
      <c r="J311" s="62" t="s">
        <v>161</v>
      </c>
      <c r="K311" s="62" t="s">
        <v>162</v>
      </c>
      <c r="L311" s="62" t="s">
        <v>128</v>
      </c>
      <c r="M311" s="62" t="s">
        <v>47</v>
      </c>
      <c r="N311" s="5">
        <v>0</v>
      </c>
      <c r="O311" s="8">
        <v>0</v>
      </c>
      <c r="P311" s="69">
        <v>65000</v>
      </c>
      <c r="Q311" s="69">
        <v>119000</v>
      </c>
      <c r="R311" s="69">
        <v>92000</v>
      </c>
      <c r="S311" s="62" t="s">
        <v>138</v>
      </c>
      <c r="T311" s="8">
        <f t="shared" si="14"/>
        <v>172</v>
      </c>
      <c r="U311" s="8">
        <v>1</v>
      </c>
      <c r="V311" s="8">
        <v>1</v>
      </c>
      <c r="W311" s="8">
        <v>0</v>
      </c>
      <c r="X311" s="8">
        <v>1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62" t="s">
        <v>146</v>
      </c>
      <c r="AL311" s="62" t="s">
        <v>50</v>
      </c>
      <c r="AM311" s="62" t="s">
        <v>77</v>
      </c>
      <c r="AN311" s="5"/>
      <c r="AO311" s="7"/>
    </row>
    <row r="312" spans="1:41" ht="15.75" customHeight="1" x14ac:dyDescent="0.25">
      <c r="A312" s="4">
        <v>311</v>
      </c>
      <c r="B312" s="5" t="s">
        <v>626</v>
      </c>
      <c r="C312" s="58">
        <v>4.7</v>
      </c>
      <c r="D312" s="61" t="s">
        <v>627</v>
      </c>
      <c r="E312" s="72" t="s">
        <v>628</v>
      </c>
      <c r="F312" s="62" t="s">
        <v>522</v>
      </c>
      <c r="G312" s="8" t="s">
        <v>81</v>
      </c>
      <c r="H312" s="8">
        <v>2013</v>
      </c>
      <c r="I312" s="62" t="s">
        <v>44</v>
      </c>
      <c r="J312" s="62" t="s">
        <v>136</v>
      </c>
      <c r="K312" s="62" t="s">
        <v>136</v>
      </c>
      <c r="L312" s="62" t="s">
        <v>149</v>
      </c>
      <c r="M312" s="62" t="s">
        <v>47</v>
      </c>
      <c r="N312" s="5">
        <v>0</v>
      </c>
      <c r="O312" s="8">
        <v>0</v>
      </c>
      <c r="P312" s="69">
        <v>108000</v>
      </c>
      <c r="Q312" s="69">
        <v>173000</v>
      </c>
      <c r="R312" s="69">
        <v>140500</v>
      </c>
      <c r="S312" s="62" t="s">
        <v>525</v>
      </c>
      <c r="T312" s="8">
        <f t="shared" si="14"/>
        <v>10</v>
      </c>
      <c r="U312" s="8">
        <v>1</v>
      </c>
      <c r="V312" s="8">
        <v>0</v>
      </c>
      <c r="W312" s="8">
        <v>1</v>
      </c>
      <c r="X312" s="8">
        <v>0</v>
      </c>
      <c r="Y312" s="8">
        <v>0</v>
      </c>
      <c r="Z312" s="8">
        <v>0</v>
      </c>
      <c r="AA312" s="8">
        <v>1</v>
      </c>
      <c r="AB312" s="8">
        <v>1</v>
      </c>
      <c r="AC312" s="8">
        <v>1</v>
      </c>
      <c r="AD312" s="8">
        <v>1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62" t="s">
        <v>49</v>
      </c>
      <c r="AL312" s="62" t="s">
        <v>169</v>
      </c>
      <c r="AM312" s="62" t="s">
        <v>77</v>
      </c>
      <c r="AN312" s="5"/>
      <c r="AO312" s="7"/>
    </row>
    <row r="313" spans="1:41" ht="15.75" customHeight="1" x14ac:dyDescent="0.25">
      <c r="A313" s="4">
        <v>312</v>
      </c>
      <c r="B313" s="5" t="s">
        <v>808</v>
      </c>
      <c r="C313" s="58">
        <v>3.5</v>
      </c>
      <c r="D313" s="61" t="s">
        <v>214</v>
      </c>
      <c r="E313" s="72" t="s">
        <v>364</v>
      </c>
      <c r="F313" s="62" t="s">
        <v>215</v>
      </c>
      <c r="G313" s="8" t="s">
        <v>70</v>
      </c>
      <c r="H313" s="8">
        <v>1969</v>
      </c>
      <c r="I313" s="62" t="s">
        <v>44</v>
      </c>
      <c r="J313" s="62" t="s">
        <v>216</v>
      </c>
      <c r="K313" s="62" t="s">
        <v>111</v>
      </c>
      <c r="L313" s="62" t="s">
        <v>91</v>
      </c>
      <c r="M313" s="62" t="s">
        <v>217</v>
      </c>
      <c r="N313" s="5">
        <v>0</v>
      </c>
      <c r="O313" s="8">
        <v>0</v>
      </c>
      <c r="P313" s="69">
        <v>63000</v>
      </c>
      <c r="Q313" s="69">
        <v>101000</v>
      </c>
      <c r="R313" s="69">
        <v>82000</v>
      </c>
      <c r="S313" s="62" t="s">
        <v>122</v>
      </c>
      <c r="T313" s="8">
        <f t="shared" si="14"/>
        <v>54</v>
      </c>
      <c r="U313" s="8">
        <v>1</v>
      </c>
      <c r="V313" s="8">
        <v>0</v>
      </c>
      <c r="W313" s="8">
        <v>0</v>
      </c>
      <c r="X313" s="8">
        <v>0</v>
      </c>
      <c r="Y313" s="8">
        <v>1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62" t="s">
        <v>49</v>
      </c>
      <c r="AL313" s="62" t="s">
        <v>50</v>
      </c>
      <c r="AM313" s="62" t="s">
        <v>51</v>
      </c>
      <c r="AN313" s="5"/>
      <c r="AO313" s="7"/>
    </row>
    <row r="314" spans="1:41" ht="15.75" customHeight="1" x14ac:dyDescent="0.25">
      <c r="A314" s="4">
        <v>313</v>
      </c>
      <c r="B314" s="5" t="s">
        <v>631</v>
      </c>
      <c r="C314" s="58">
        <v>3.3</v>
      </c>
      <c r="D314" s="61" t="s">
        <v>104</v>
      </c>
      <c r="E314" s="72" t="s">
        <v>105</v>
      </c>
      <c r="F314" s="62" t="s">
        <v>105</v>
      </c>
      <c r="G314" s="8" t="s">
        <v>56</v>
      </c>
      <c r="H314" s="8">
        <v>2014</v>
      </c>
      <c r="I314" s="62" t="s">
        <v>106</v>
      </c>
      <c r="J314" s="62" t="s">
        <v>58</v>
      </c>
      <c r="K314" s="62" t="s">
        <v>59</v>
      </c>
      <c r="L314" s="62" t="s">
        <v>74</v>
      </c>
      <c r="M314" s="62" t="s">
        <v>47</v>
      </c>
      <c r="N314" s="5">
        <v>0</v>
      </c>
      <c r="O314" s="8">
        <v>0</v>
      </c>
      <c r="P314" s="69">
        <v>54000</v>
      </c>
      <c r="Q314" s="69">
        <v>115000</v>
      </c>
      <c r="R314" s="69">
        <v>84500</v>
      </c>
      <c r="S314" s="62" t="s">
        <v>85</v>
      </c>
      <c r="T314" s="8">
        <f t="shared" si="14"/>
        <v>9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62" t="s">
        <v>107</v>
      </c>
      <c r="AL314" s="62" t="s">
        <v>169</v>
      </c>
      <c r="AM314" s="62" t="s">
        <v>108</v>
      </c>
      <c r="AN314" s="5"/>
      <c r="AO314" s="7"/>
    </row>
    <row r="315" spans="1:41" ht="15.75" customHeight="1" x14ac:dyDescent="0.25">
      <c r="A315" s="4">
        <v>314</v>
      </c>
      <c r="B315" s="5" t="s">
        <v>636</v>
      </c>
      <c r="C315" s="58">
        <v>4.4000000000000004</v>
      </c>
      <c r="D315" s="61" t="s">
        <v>579</v>
      </c>
      <c r="E315" s="72" t="s">
        <v>134</v>
      </c>
      <c r="F315" s="62" t="s">
        <v>134</v>
      </c>
      <c r="G315" s="8" t="s">
        <v>88</v>
      </c>
      <c r="H315" s="8">
        <v>2013</v>
      </c>
      <c r="I315" s="62" t="s">
        <v>89</v>
      </c>
      <c r="J315" s="62" t="s">
        <v>136</v>
      </c>
      <c r="K315" s="62" t="s">
        <v>136</v>
      </c>
      <c r="L315" s="62" t="s">
        <v>66</v>
      </c>
      <c r="M315" s="62" t="s">
        <v>47</v>
      </c>
      <c r="N315" s="5">
        <v>0</v>
      </c>
      <c r="O315" s="8">
        <v>0</v>
      </c>
      <c r="P315" s="69">
        <v>90000</v>
      </c>
      <c r="Q315" s="69">
        <v>179000</v>
      </c>
      <c r="R315" s="69">
        <v>134500</v>
      </c>
      <c r="S315" s="62" t="s">
        <v>138</v>
      </c>
      <c r="T315" s="8">
        <f t="shared" si="14"/>
        <v>10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62" t="s">
        <v>107</v>
      </c>
      <c r="AL315" s="62" t="s">
        <v>169</v>
      </c>
      <c r="AM315" s="62" t="s">
        <v>108</v>
      </c>
      <c r="AN315" s="5"/>
      <c r="AO315" s="7"/>
    </row>
    <row r="316" spans="1:41" ht="15.75" customHeight="1" x14ac:dyDescent="0.25">
      <c r="A316" s="4">
        <v>315</v>
      </c>
      <c r="B316" s="5" t="s">
        <v>39</v>
      </c>
      <c r="C316" s="58">
        <v>3.3</v>
      </c>
      <c r="D316" s="61" t="s">
        <v>809</v>
      </c>
      <c r="E316" s="72" t="s">
        <v>98</v>
      </c>
      <c r="F316" s="62" t="s">
        <v>114</v>
      </c>
      <c r="G316" s="8" t="s">
        <v>88</v>
      </c>
      <c r="H316" s="8">
        <v>2008</v>
      </c>
      <c r="I316" s="62" t="s">
        <v>44</v>
      </c>
      <c r="J316" s="62" t="s">
        <v>82</v>
      </c>
      <c r="K316" s="62" t="s">
        <v>65</v>
      </c>
      <c r="L316" s="62" t="s">
        <v>83</v>
      </c>
      <c r="M316" s="62" t="s">
        <v>47</v>
      </c>
      <c r="N316" s="5">
        <v>0</v>
      </c>
      <c r="O316" s="8">
        <v>0</v>
      </c>
      <c r="P316" s="69">
        <v>127000</v>
      </c>
      <c r="Q316" s="69">
        <v>202000</v>
      </c>
      <c r="R316" s="69">
        <v>164500</v>
      </c>
      <c r="S316" s="62" t="s">
        <v>102</v>
      </c>
      <c r="T316" s="8">
        <f t="shared" si="14"/>
        <v>15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62" t="s">
        <v>49</v>
      </c>
      <c r="AL316" s="62" t="s">
        <v>50</v>
      </c>
      <c r="AM316" s="62" t="s">
        <v>77</v>
      </c>
      <c r="AN316" s="5"/>
      <c r="AO316" s="7"/>
    </row>
    <row r="317" spans="1:41" ht="15.75" customHeight="1" x14ac:dyDescent="0.25">
      <c r="A317" s="4">
        <v>316</v>
      </c>
      <c r="B317" s="5" t="s">
        <v>810</v>
      </c>
      <c r="C317" s="58">
        <v>3.4</v>
      </c>
      <c r="D317" s="61" t="s">
        <v>811</v>
      </c>
      <c r="E317" s="72" t="s">
        <v>812</v>
      </c>
      <c r="F317" s="62" t="s">
        <v>813</v>
      </c>
      <c r="G317" s="8" t="s">
        <v>88</v>
      </c>
      <c r="H317" s="8">
        <v>1991</v>
      </c>
      <c r="I317" s="62" t="s">
        <v>89</v>
      </c>
      <c r="J317" s="62" t="s">
        <v>814</v>
      </c>
      <c r="K317" s="62" t="s">
        <v>207</v>
      </c>
      <c r="L317" s="62" t="s">
        <v>46</v>
      </c>
      <c r="M317" s="62" t="s">
        <v>47</v>
      </c>
      <c r="N317" s="5">
        <v>0</v>
      </c>
      <c r="O317" s="8">
        <v>0</v>
      </c>
      <c r="P317" s="69">
        <v>31000</v>
      </c>
      <c r="Q317" s="69">
        <v>57000</v>
      </c>
      <c r="R317" s="69">
        <v>44000</v>
      </c>
      <c r="S317" s="62" t="s">
        <v>67</v>
      </c>
      <c r="T317" s="8">
        <f t="shared" si="14"/>
        <v>32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62" t="s">
        <v>132</v>
      </c>
      <c r="AL317" s="62" t="s">
        <v>50</v>
      </c>
      <c r="AM317" s="62" t="s">
        <v>51</v>
      </c>
      <c r="AN317" s="5"/>
      <c r="AO317" s="7"/>
    </row>
    <row r="318" spans="1:41" ht="15.75" customHeight="1" x14ac:dyDescent="0.25">
      <c r="A318" s="4">
        <v>317</v>
      </c>
      <c r="B318" s="5" t="s">
        <v>632</v>
      </c>
      <c r="C318" s="58">
        <v>4</v>
      </c>
      <c r="D318" s="61" t="s">
        <v>633</v>
      </c>
      <c r="E318" s="72" t="s">
        <v>634</v>
      </c>
      <c r="F318" s="62" t="s">
        <v>635</v>
      </c>
      <c r="G318" s="8" t="s">
        <v>81</v>
      </c>
      <c r="H318" s="8">
        <v>2002</v>
      </c>
      <c r="I318" s="62" t="s">
        <v>44</v>
      </c>
      <c r="J318" s="62" t="s">
        <v>216</v>
      </c>
      <c r="K318" s="62" t="s">
        <v>111</v>
      </c>
      <c r="L318" s="62" t="s">
        <v>318</v>
      </c>
      <c r="M318" s="62" t="s">
        <v>47</v>
      </c>
      <c r="N318" s="5">
        <v>0</v>
      </c>
      <c r="O318" s="8">
        <v>0</v>
      </c>
      <c r="P318" s="69">
        <v>60000</v>
      </c>
      <c r="Q318" s="69">
        <v>127000</v>
      </c>
      <c r="R318" s="69">
        <v>93500</v>
      </c>
      <c r="S318" s="62" t="s">
        <v>61</v>
      </c>
      <c r="T318" s="8">
        <f t="shared" si="14"/>
        <v>21</v>
      </c>
      <c r="U318" s="8">
        <v>0</v>
      </c>
      <c r="V318" s="8">
        <v>0</v>
      </c>
      <c r="W318" s="8">
        <v>0</v>
      </c>
      <c r="X318" s="8">
        <v>1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62" t="s">
        <v>107</v>
      </c>
      <c r="AL318" s="62" t="s">
        <v>50</v>
      </c>
      <c r="AM318" s="62" t="s">
        <v>51</v>
      </c>
      <c r="AN318" s="5"/>
      <c r="AO318" s="7"/>
    </row>
    <row r="319" spans="1:41" ht="15.75" customHeight="1" x14ac:dyDescent="0.25">
      <c r="A319" s="4">
        <v>318</v>
      </c>
      <c r="B319" s="5" t="s">
        <v>224</v>
      </c>
      <c r="C319" s="58">
        <v>4.4000000000000004</v>
      </c>
      <c r="D319" s="61" t="s">
        <v>323</v>
      </c>
      <c r="E319" s="72" t="s">
        <v>119</v>
      </c>
      <c r="F319" s="62" t="s">
        <v>325</v>
      </c>
      <c r="G319" s="8">
        <v>500</v>
      </c>
      <c r="H319" s="8">
        <v>2015</v>
      </c>
      <c r="I319" s="62" t="s">
        <v>44</v>
      </c>
      <c r="J319" s="62" t="s">
        <v>155</v>
      </c>
      <c r="K319" s="62" t="s">
        <v>111</v>
      </c>
      <c r="L319" s="62" t="s">
        <v>83</v>
      </c>
      <c r="M319" s="62" t="s">
        <v>47</v>
      </c>
      <c r="N319" s="5">
        <v>0</v>
      </c>
      <c r="O319" s="8">
        <v>0</v>
      </c>
      <c r="P319" s="69">
        <v>75000</v>
      </c>
      <c r="Q319" s="69">
        <v>143000</v>
      </c>
      <c r="R319" s="69">
        <v>109000</v>
      </c>
      <c r="S319" s="62" t="s">
        <v>122</v>
      </c>
      <c r="T319" s="8">
        <f t="shared" si="14"/>
        <v>8</v>
      </c>
      <c r="U319" s="8">
        <v>1</v>
      </c>
      <c r="V319" s="8">
        <v>1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1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62" t="s">
        <v>146</v>
      </c>
      <c r="AL319" s="62" t="s">
        <v>50</v>
      </c>
      <c r="AM319" s="62" t="s">
        <v>77</v>
      </c>
      <c r="AN319" s="5"/>
      <c r="AO319" s="7"/>
    </row>
    <row r="320" spans="1:41" ht="15.75" customHeight="1" x14ac:dyDescent="0.25">
      <c r="A320" s="4">
        <v>319</v>
      </c>
      <c r="B320" s="5" t="s">
        <v>815</v>
      </c>
      <c r="C320" s="58">
        <v>3.8</v>
      </c>
      <c r="D320" s="61" t="s">
        <v>816</v>
      </c>
      <c r="E320" s="72" t="s">
        <v>732</v>
      </c>
      <c r="F320" s="62" t="s">
        <v>817</v>
      </c>
      <c r="G320" s="8" t="s">
        <v>43</v>
      </c>
      <c r="H320" s="8">
        <v>2010</v>
      </c>
      <c r="I320" s="62" t="s">
        <v>44</v>
      </c>
      <c r="J320" s="62" t="s">
        <v>216</v>
      </c>
      <c r="K320" s="62" t="s">
        <v>111</v>
      </c>
      <c r="L320" s="62" t="s">
        <v>83</v>
      </c>
      <c r="M320" s="62" t="s">
        <v>818</v>
      </c>
      <c r="N320" s="5">
        <v>0</v>
      </c>
      <c r="O320" s="8">
        <v>0</v>
      </c>
      <c r="P320" s="69">
        <v>105000</v>
      </c>
      <c r="Q320" s="69">
        <v>194000</v>
      </c>
      <c r="R320" s="69">
        <v>149500</v>
      </c>
      <c r="S320" s="62" t="s">
        <v>93</v>
      </c>
      <c r="T320" s="8">
        <f t="shared" si="14"/>
        <v>13</v>
      </c>
      <c r="U320" s="8">
        <v>0</v>
      </c>
      <c r="V320" s="8">
        <v>1</v>
      </c>
      <c r="W320" s="8">
        <v>1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62" t="s">
        <v>146</v>
      </c>
      <c r="AL320" s="62" t="s">
        <v>50</v>
      </c>
      <c r="AM320" s="62" t="s">
        <v>51</v>
      </c>
      <c r="AN320" s="5"/>
      <c r="AO320" s="7"/>
    </row>
    <row r="321" spans="1:41" ht="15.75" customHeight="1" x14ac:dyDescent="0.25">
      <c r="A321" s="4">
        <v>320</v>
      </c>
      <c r="B321" s="5" t="s">
        <v>819</v>
      </c>
      <c r="C321" s="58">
        <v>3.5</v>
      </c>
      <c r="D321" s="61" t="s">
        <v>820</v>
      </c>
      <c r="E321" s="72" t="s">
        <v>243</v>
      </c>
      <c r="F321" s="62" t="s">
        <v>243</v>
      </c>
      <c r="G321" s="8" t="s">
        <v>70</v>
      </c>
      <c r="H321" s="8">
        <v>2007</v>
      </c>
      <c r="I321" s="62" t="s">
        <v>44</v>
      </c>
      <c r="J321" s="62" t="s">
        <v>121</v>
      </c>
      <c r="K321" s="62" t="s">
        <v>65</v>
      </c>
      <c r="L321" s="62" t="s">
        <v>83</v>
      </c>
      <c r="M321" s="62" t="s">
        <v>47</v>
      </c>
      <c r="N321" s="5">
        <v>0</v>
      </c>
      <c r="O321" s="8">
        <v>0</v>
      </c>
      <c r="P321" s="69">
        <v>45000</v>
      </c>
      <c r="Q321" s="69">
        <v>86000</v>
      </c>
      <c r="R321" s="69">
        <v>65500</v>
      </c>
      <c r="S321" s="62" t="s">
        <v>245</v>
      </c>
      <c r="T321" s="8">
        <f t="shared" si="14"/>
        <v>16</v>
      </c>
      <c r="U321" s="8">
        <v>0</v>
      </c>
      <c r="V321" s="8">
        <v>1</v>
      </c>
      <c r="W321" s="8">
        <v>1</v>
      </c>
      <c r="X321" s="8">
        <v>1</v>
      </c>
      <c r="Y321" s="8">
        <v>1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62" t="s">
        <v>146</v>
      </c>
      <c r="AL321" s="62" t="s">
        <v>50</v>
      </c>
      <c r="AM321" s="62" t="s">
        <v>51</v>
      </c>
      <c r="AN321" s="5"/>
      <c r="AO321" s="7"/>
    </row>
    <row r="322" spans="1:41" ht="15.75" customHeight="1" x14ac:dyDescent="0.25">
      <c r="A322" s="4">
        <v>321</v>
      </c>
      <c r="B322" s="5" t="s">
        <v>220</v>
      </c>
      <c r="C322" s="58">
        <v>3.5</v>
      </c>
      <c r="D322" s="61" t="s">
        <v>821</v>
      </c>
      <c r="E322" s="72" t="s">
        <v>420</v>
      </c>
      <c r="F322" s="62" t="s">
        <v>420</v>
      </c>
      <c r="G322" s="8" t="s">
        <v>70</v>
      </c>
      <c r="H322" s="8">
        <v>2017</v>
      </c>
      <c r="I322" s="62" t="s">
        <v>89</v>
      </c>
      <c r="J322" s="62" t="s">
        <v>161</v>
      </c>
      <c r="K322" s="62" t="s">
        <v>162</v>
      </c>
      <c r="L322" s="62" t="s">
        <v>83</v>
      </c>
      <c r="M322" s="62" t="s">
        <v>47</v>
      </c>
      <c r="N322" s="5">
        <v>0</v>
      </c>
      <c r="O322" s="8">
        <v>0</v>
      </c>
      <c r="P322" s="69">
        <v>95000</v>
      </c>
      <c r="Q322" s="69">
        <v>154000</v>
      </c>
      <c r="R322" s="69">
        <v>124500</v>
      </c>
      <c r="S322" s="62" t="s">
        <v>423</v>
      </c>
      <c r="T322" s="8">
        <f t="shared" si="14"/>
        <v>6</v>
      </c>
      <c r="U322" s="8">
        <v>1</v>
      </c>
      <c r="V322" s="8">
        <v>1</v>
      </c>
      <c r="W322" s="8">
        <v>0</v>
      </c>
      <c r="X322" s="8">
        <v>1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62" t="s">
        <v>49</v>
      </c>
      <c r="AL322" s="62" t="s">
        <v>169</v>
      </c>
      <c r="AM322" s="62" t="s">
        <v>51</v>
      </c>
      <c r="AN322" s="5"/>
      <c r="AO322" s="7"/>
    </row>
    <row r="323" spans="1:41" ht="15.75" customHeight="1" x14ac:dyDescent="0.25">
      <c r="A323" s="4">
        <v>322</v>
      </c>
      <c r="B323" s="5" t="s">
        <v>822</v>
      </c>
      <c r="C323" s="58">
        <v>2.9</v>
      </c>
      <c r="D323" s="61" t="s">
        <v>78</v>
      </c>
      <c r="E323" s="72" t="s">
        <v>98</v>
      </c>
      <c r="F323" s="62" t="s">
        <v>80</v>
      </c>
      <c r="G323" s="8" t="s">
        <v>81</v>
      </c>
      <c r="H323" s="8">
        <v>1998</v>
      </c>
      <c r="I323" s="62" t="s">
        <v>44</v>
      </c>
      <c r="J323" s="62" t="s">
        <v>82</v>
      </c>
      <c r="K323" s="62" t="s">
        <v>65</v>
      </c>
      <c r="L323" s="62" t="s">
        <v>83</v>
      </c>
      <c r="M323" s="62" t="s">
        <v>84</v>
      </c>
      <c r="N323" s="5">
        <v>0</v>
      </c>
      <c r="O323" s="8">
        <v>0</v>
      </c>
      <c r="P323" s="69">
        <v>80000</v>
      </c>
      <c r="Q323" s="69">
        <v>148000</v>
      </c>
      <c r="R323" s="69">
        <v>114000</v>
      </c>
      <c r="S323" s="62" t="s">
        <v>102</v>
      </c>
      <c r="T323" s="8">
        <f t="shared" si="14"/>
        <v>25</v>
      </c>
      <c r="U323" s="8">
        <v>1</v>
      </c>
      <c r="V323" s="8">
        <v>1</v>
      </c>
      <c r="W323" s="8">
        <v>0</v>
      </c>
      <c r="X323" s="8">
        <v>0</v>
      </c>
      <c r="Y323" s="8">
        <v>1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1</v>
      </c>
      <c r="AG323" s="8">
        <v>0</v>
      </c>
      <c r="AH323" s="8">
        <v>0</v>
      </c>
      <c r="AI323" s="8">
        <v>0</v>
      </c>
      <c r="AJ323" s="8">
        <v>0</v>
      </c>
      <c r="AK323" s="62" t="s">
        <v>146</v>
      </c>
      <c r="AL323" s="62" t="s">
        <v>50</v>
      </c>
      <c r="AM323" s="62" t="s">
        <v>51</v>
      </c>
      <c r="AN323" s="5"/>
      <c r="AO323" s="7"/>
    </row>
    <row r="324" spans="1:41" ht="15.75" customHeight="1" x14ac:dyDescent="0.25">
      <c r="A324" s="4">
        <v>323</v>
      </c>
      <c r="B324" s="5" t="s">
        <v>644</v>
      </c>
      <c r="C324" s="58">
        <v>3.9</v>
      </c>
      <c r="D324" s="61" t="s">
        <v>823</v>
      </c>
      <c r="E324" s="72" t="s">
        <v>824</v>
      </c>
      <c r="F324" s="62" t="s">
        <v>824</v>
      </c>
      <c r="G324" s="8" t="s">
        <v>43</v>
      </c>
      <c r="H324" s="8">
        <v>1937</v>
      </c>
      <c r="I324" s="62" t="s">
        <v>160</v>
      </c>
      <c r="J324" s="62" t="s">
        <v>95</v>
      </c>
      <c r="K324" s="62" t="s">
        <v>96</v>
      </c>
      <c r="L324" s="62" t="s">
        <v>83</v>
      </c>
      <c r="M324" s="62" t="s">
        <v>825</v>
      </c>
      <c r="N324" s="5">
        <v>0</v>
      </c>
      <c r="O324" s="8">
        <v>0</v>
      </c>
      <c r="P324" s="69">
        <v>36000</v>
      </c>
      <c r="Q324" s="69">
        <v>62000</v>
      </c>
      <c r="R324" s="69">
        <v>49000</v>
      </c>
      <c r="S324" s="62" t="s">
        <v>305</v>
      </c>
      <c r="T324" s="8">
        <f t="shared" si="14"/>
        <v>86</v>
      </c>
      <c r="U324" s="8">
        <v>1</v>
      </c>
      <c r="V324" s="8">
        <v>0</v>
      </c>
      <c r="W324" s="8">
        <v>0</v>
      </c>
      <c r="X324" s="8">
        <v>0</v>
      </c>
      <c r="Y324" s="8">
        <v>1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1</v>
      </c>
      <c r="AG324" s="8">
        <v>1</v>
      </c>
      <c r="AH324" s="8">
        <v>0</v>
      </c>
      <c r="AI324" s="8">
        <v>0</v>
      </c>
      <c r="AJ324" s="8">
        <v>0</v>
      </c>
      <c r="AK324" s="62" t="s">
        <v>132</v>
      </c>
      <c r="AL324" s="62" t="s">
        <v>50</v>
      </c>
      <c r="AM324" s="62" t="s">
        <v>77</v>
      </c>
      <c r="AN324" s="5"/>
      <c r="AO324" s="7"/>
    </row>
    <row r="325" spans="1:41" ht="15.75" customHeight="1" x14ac:dyDescent="0.25">
      <c r="A325" s="4">
        <v>324</v>
      </c>
      <c r="B325" s="5" t="s">
        <v>640</v>
      </c>
      <c r="C325" s="58">
        <v>3.3</v>
      </c>
      <c r="D325" s="61" t="s">
        <v>104</v>
      </c>
      <c r="E325" s="72" t="s">
        <v>105</v>
      </c>
      <c r="F325" s="62" t="s">
        <v>105</v>
      </c>
      <c r="G325" s="8" t="s">
        <v>56</v>
      </c>
      <c r="H325" s="8">
        <v>2014</v>
      </c>
      <c r="I325" s="62" t="s">
        <v>106</v>
      </c>
      <c r="J325" s="62" t="s">
        <v>58</v>
      </c>
      <c r="K325" s="62" t="s">
        <v>59</v>
      </c>
      <c r="L325" s="62" t="s">
        <v>74</v>
      </c>
      <c r="M325" s="62" t="s">
        <v>47</v>
      </c>
      <c r="N325" s="5">
        <v>0</v>
      </c>
      <c r="O325" s="8">
        <v>0</v>
      </c>
      <c r="P325" s="69">
        <v>54000</v>
      </c>
      <c r="Q325" s="69">
        <v>115000</v>
      </c>
      <c r="R325" s="69">
        <v>84500</v>
      </c>
      <c r="S325" s="62" t="s">
        <v>85</v>
      </c>
      <c r="T325" s="8">
        <f t="shared" si="14"/>
        <v>9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62" t="s">
        <v>107</v>
      </c>
      <c r="AL325" s="62" t="s">
        <v>169</v>
      </c>
      <c r="AM325" s="62" t="s">
        <v>108</v>
      </c>
      <c r="AN325" s="5"/>
      <c r="AO325" s="7"/>
    </row>
    <row r="326" spans="1:41" ht="15.75" customHeight="1" x14ac:dyDescent="0.25">
      <c r="A326" s="4">
        <v>325</v>
      </c>
      <c r="B326" s="5" t="s">
        <v>130</v>
      </c>
      <c r="C326" s="58">
        <v>3.7</v>
      </c>
      <c r="D326" s="61" t="s">
        <v>826</v>
      </c>
      <c r="E326" s="72" t="s">
        <v>244</v>
      </c>
      <c r="F326" s="62" t="s">
        <v>244</v>
      </c>
      <c r="G326" s="8" t="s">
        <v>43</v>
      </c>
      <c r="H326" s="8">
        <v>1989</v>
      </c>
      <c r="I326" s="62" t="s">
        <v>44</v>
      </c>
      <c r="J326" s="62" t="s">
        <v>213</v>
      </c>
      <c r="K326" s="62" t="s">
        <v>111</v>
      </c>
      <c r="L326" s="62" t="s">
        <v>66</v>
      </c>
      <c r="M326" s="62" t="s">
        <v>827</v>
      </c>
      <c r="N326" s="5">
        <v>0</v>
      </c>
      <c r="O326" s="8">
        <v>0</v>
      </c>
      <c r="P326" s="69">
        <v>50000</v>
      </c>
      <c r="Q326" s="69">
        <v>92000</v>
      </c>
      <c r="R326" s="69">
        <v>71000</v>
      </c>
      <c r="S326" s="62" t="s">
        <v>122</v>
      </c>
      <c r="T326" s="8">
        <f t="shared" si="14"/>
        <v>34</v>
      </c>
      <c r="U326" s="8">
        <v>0</v>
      </c>
      <c r="V326" s="8">
        <v>0</v>
      </c>
      <c r="W326" s="8">
        <v>0</v>
      </c>
      <c r="X326" s="8">
        <v>1</v>
      </c>
      <c r="Y326" s="8">
        <v>1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1</v>
      </c>
      <c r="AG326" s="8">
        <v>1</v>
      </c>
      <c r="AH326" s="8">
        <v>0</v>
      </c>
      <c r="AI326" s="8">
        <v>0</v>
      </c>
      <c r="AJ326" s="8">
        <v>0</v>
      </c>
      <c r="AK326" s="62" t="s">
        <v>132</v>
      </c>
      <c r="AL326" s="62" t="s">
        <v>50</v>
      </c>
      <c r="AM326" s="62" t="s">
        <v>77</v>
      </c>
      <c r="AN326" s="5"/>
      <c r="AO326" s="7"/>
    </row>
    <row r="327" spans="1:41" ht="15.75" customHeight="1" x14ac:dyDescent="0.25">
      <c r="A327" s="4">
        <v>326</v>
      </c>
      <c r="B327" s="5" t="s">
        <v>828</v>
      </c>
      <c r="C327" s="58">
        <v>3.6</v>
      </c>
      <c r="D327" s="61" t="s">
        <v>550</v>
      </c>
      <c r="E327" s="72" t="s">
        <v>269</v>
      </c>
      <c r="F327" s="62" t="s">
        <v>551</v>
      </c>
      <c r="G327" s="8" t="s">
        <v>120</v>
      </c>
      <c r="H327" s="8">
        <v>1851</v>
      </c>
      <c r="I327" s="62" t="s">
        <v>44</v>
      </c>
      <c r="J327" s="62" t="s">
        <v>161</v>
      </c>
      <c r="K327" s="62" t="s">
        <v>162</v>
      </c>
      <c r="L327" s="62" t="s">
        <v>128</v>
      </c>
      <c r="M327" s="62" t="s">
        <v>47</v>
      </c>
      <c r="N327" s="5">
        <v>0</v>
      </c>
      <c r="O327" s="8">
        <v>0</v>
      </c>
      <c r="P327" s="69">
        <v>67000</v>
      </c>
      <c r="Q327" s="69">
        <v>135000</v>
      </c>
      <c r="R327" s="69">
        <v>101000</v>
      </c>
      <c r="S327" s="62" t="s">
        <v>138</v>
      </c>
      <c r="T327" s="8">
        <f t="shared" si="14"/>
        <v>172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62" t="s">
        <v>829</v>
      </c>
      <c r="AL327" s="62" t="s">
        <v>50</v>
      </c>
      <c r="AM327" s="62" t="s">
        <v>77</v>
      </c>
      <c r="AN327" s="5"/>
      <c r="AO327" s="7"/>
    </row>
    <row r="328" spans="1:41" ht="15.75" customHeight="1" x14ac:dyDescent="0.25">
      <c r="A328" s="4">
        <v>327</v>
      </c>
      <c r="B328" s="5" t="s">
        <v>39</v>
      </c>
      <c r="C328" s="58">
        <v>3.5</v>
      </c>
      <c r="D328" s="61" t="s">
        <v>214</v>
      </c>
      <c r="E328" s="72" t="s">
        <v>215</v>
      </c>
      <c r="F328" s="62" t="s">
        <v>215</v>
      </c>
      <c r="G328" s="8" t="s">
        <v>70</v>
      </c>
      <c r="H328" s="8">
        <v>1969</v>
      </c>
      <c r="I328" s="62" t="s">
        <v>44</v>
      </c>
      <c r="J328" s="62" t="s">
        <v>216</v>
      </c>
      <c r="K328" s="62" t="s">
        <v>111</v>
      </c>
      <c r="L328" s="62" t="s">
        <v>91</v>
      </c>
      <c r="M328" s="62" t="s">
        <v>217</v>
      </c>
      <c r="N328" s="5">
        <v>0</v>
      </c>
      <c r="O328" s="8">
        <v>0</v>
      </c>
      <c r="P328" s="69">
        <v>82000</v>
      </c>
      <c r="Q328" s="69">
        <v>132000</v>
      </c>
      <c r="R328" s="69">
        <v>107000</v>
      </c>
      <c r="S328" s="62" t="s">
        <v>102</v>
      </c>
      <c r="T328" s="8">
        <f t="shared" si="14"/>
        <v>54</v>
      </c>
      <c r="U328" s="8">
        <v>1</v>
      </c>
      <c r="V328" s="8">
        <v>1</v>
      </c>
      <c r="W328" s="8">
        <v>1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1</v>
      </c>
      <c r="AF328" s="8">
        <v>1</v>
      </c>
      <c r="AG328" s="8">
        <v>0</v>
      </c>
      <c r="AH328" s="8">
        <v>0</v>
      </c>
      <c r="AI328" s="8">
        <v>1</v>
      </c>
      <c r="AJ328" s="8">
        <v>0</v>
      </c>
      <c r="AK328" s="62" t="s">
        <v>49</v>
      </c>
      <c r="AL328" s="62" t="s">
        <v>50</v>
      </c>
      <c r="AM328" s="62" t="s">
        <v>51</v>
      </c>
      <c r="AN328" s="5"/>
      <c r="AO328" s="7"/>
    </row>
    <row r="329" spans="1:41" ht="15.75" customHeight="1" x14ac:dyDescent="0.25">
      <c r="A329" s="4">
        <v>328</v>
      </c>
      <c r="B329" s="5" t="s">
        <v>39</v>
      </c>
      <c r="C329" s="58">
        <v>4.7</v>
      </c>
      <c r="D329" s="61" t="s">
        <v>208</v>
      </c>
      <c r="E329" s="72" t="s">
        <v>209</v>
      </c>
      <c r="F329" s="62" t="s">
        <v>209</v>
      </c>
      <c r="G329" s="8" t="s">
        <v>88</v>
      </c>
      <c r="H329" s="8">
        <v>1974</v>
      </c>
      <c r="I329" s="62" t="s">
        <v>44</v>
      </c>
      <c r="J329" s="62" t="s">
        <v>136</v>
      </c>
      <c r="K329" s="62" t="s">
        <v>136</v>
      </c>
      <c r="L329" s="62" t="s">
        <v>83</v>
      </c>
      <c r="M329" s="62" t="s">
        <v>210</v>
      </c>
      <c r="N329" s="5">
        <v>0</v>
      </c>
      <c r="O329" s="8">
        <v>0</v>
      </c>
      <c r="P329" s="69">
        <v>85000</v>
      </c>
      <c r="Q329" s="69">
        <v>140000</v>
      </c>
      <c r="R329" s="69">
        <v>112500</v>
      </c>
      <c r="S329" s="62" t="s">
        <v>138</v>
      </c>
      <c r="T329" s="8">
        <f t="shared" si="14"/>
        <v>49</v>
      </c>
      <c r="U329" s="8">
        <v>1</v>
      </c>
      <c r="V329" s="8">
        <v>0</v>
      </c>
      <c r="W329" s="8">
        <v>0</v>
      </c>
      <c r="X329" s="8">
        <v>1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62" t="s">
        <v>49</v>
      </c>
      <c r="AL329" s="62" t="s">
        <v>50</v>
      </c>
      <c r="AM329" s="62" t="s">
        <v>77</v>
      </c>
      <c r="AN329" s="5"/>
      <c r="AO329" s="7"/>
    </row>
    <row r="330" spans="1:41" ht="15.75" customHeight="1" x14ac:dyDescent="0.25">
      <c r="A330" s="4">
        <v>329</v>
      </c>
      <c r="B330" s="5" t="s">
        <v>637</v>
      </c>
      <c r="C330" s="58">
        <v>3.9</v>
      </c>
      <c r="D330" s="61" t="s">
        <v>638</v>
      </c>
      <c r="E330" s="72" t="s">
        <v>98</v>
      </c>
      <c r="F330" s="62" t="s">
        <v>114</v>
      </c>
      <c r="G330" s="8" t="s">
        <v>88</v>
      </c>
      <c r="H330" s="8">
        <v>2007</v>
      </c>
      <c r="I330" s="62" t="s">
        <v>44</v>
      </c>
      <c r="J330" s="62" t="s">
        <v>110</v>
      </c>
      <c r="K330" s="62" t="s">
        <v>111</v>
      </c>
      <c r="L330" s="62" t="s">
        <v>180</v>
      </c>
      <c r="M330" s="62" t="s">
        <v>639</v>
      </c>
      <c r="N330" s="5">
        <v>0</v>
      </c>
      <c r="O330" s="8">
        <v>0</v>
      </c>
      <c r="P330" s="69">
        <v>138000</v>
      </c>
      <c r="Q330" s="69">
        <v>224000</v>
      </c>
      <c r="R330" s="69">
        <v>181000</v>
      </c>
      <c r="S330" s="62" t="s">
        <v>102</v>
      </c>
      <c r="T330" s="8">
        <f t="shared" si="14"/>
        <v>16</v>
      </c>
      <c r="U330" s="8">
        <v>1</v>
      </c>
      <c r="V330" s="8">
        <v>1</v>
      </c>
      <c r="W330" s="8">
        <v>0</v>
      </c>
      <c r="X330" s="8">
        <v>0</v>
      </c>
      <c r="Y330" s="8">
        <v>1</v>
      </c>
      <c r="Z330" s="8">
        <v>0</v>
      </c>
      <c r="AA330" s="8">
        <v>0</v>
      </c>
      <c r="AB330" s="8">
        <v>0</v>
      </c>
      <c r="AC330" s="8">
        <v>1</v>
      </c>
      <c r="AD330" s="8">
        <v>1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62" t="s">
        <v>508</v>
      </c>
      <c r="AL330" s="62" t="s">
        <v>50</v>
      </c>
      <c r="AM330" s="62" t="s">
        <v>77</v>
      </c>
      <c r="AN330" s="5"/>
      <c r="AO330" s="7"/>
    </row>
    <row r="331" spans="1:41" ht="15.75" customHeight="1" x14ac:dyDescent="0.25">
      <c r="A331" s="4">
        <v>330</v>
      </c>
      <c r="B331" s="5" t="s">
        <v>770</v>
      </c>
      <c r="C331" s="58">
        <v>3.7</v>
      </c>
      <c r="D331" s="61" t="s">
        <v>830</v>
      </c>
      <c r="E331" s="72" t="s">
        <v>172</v>
      </c>
      <c r="F331" s="62" t="s">
        <v>172</v>
      </c>
      <c r="G331" s="8" t="s">
        <v>56</v>
      </c>
      <c r="H331" s="8">
        <v>1928</v>
      </c>
      <c r="I331" s="62" t="s">
        <v>89</v>
      </c>
      <c r="J331" s="62" t="s">
        <v>216</v>
      </c>
      <c r="K331" s="62" t="s">
        <v>111</v>
      </c>
      <c r="L331" s="62" t="s">
        <v>194</v>
      </c>
      <c r="M331" s="62" t="s">
        <v>831</v>
      </c>
      <c r="N331" s="5">
        <v>0</v>
      </c>
      <c r="O331" s="8">
        <v>0</v>
      </c>
      <c r="P331" s="69">
        <v>42000</v>
      </c>
      <c r="Q331" s="69">
        <v>80000</v>
      </c>
      <c r="R331" s="69">
        <v>61000</v>
      </c>
      <c r="S331" s="62" t="s">
        <v>176</v>
      </c>
      <c r="T331" s="8">
        <f t="shared" si="14"/>
        <v>95</v>
      </c>
      <c r="U331" s="8">
        <v>1</v>
      </c>
      <c r="V331" s="8">
        <v>1</v>
      </c>
      <c r="W331" s="8">
        <v>0</v>
      </c>
      <c r="X331" s="8">
        <v>0</v>
      </c>
      <c r="Y331" s="8">
        <v>1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1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62" t="s">
        <v>132</v>
      </c>
      <c r="AL331" s="62" t="s">
        <v>50</v>
      </c>
      <c r="AM331" s="62" t="s">
        <v>51</v>
      </c>
      <c r="AN331" s="5"/>
      <c r="AO331" s="7"/>
    </row>
    <row r="332" spans="1:41" ht="15.75" customHeight="1" x14ac:dyDescent="0.25">
      <c r="A332" s="4">
        <v>331</v>
      </c>
      <c r="B332" s="5" t="s">
        <v>641</v>
      </c>
      <c r="C332" s="58">
        <v>4.0999999999999996</v>
      </c>
      <c r="D332" s="61" t="s">
        <v>642</v>
      </c>
      <c r="E332" s="72" t="s">
        <v>153</v>
      </c>
      <c r="F332" s="62" t="s">
        <v>154</v>
      </c>
      <c r="G332" s="8" t="s">
        <v>81</v>
      </c>
      <c r="H332" s="8">
        <v>2010</v>
      </c>
      <c r="I332" s="62" t="s">
        <v>44</v>
      </c>
      <c r="J332" s="62" t="s">
        <v>110</v>
      </c>
      <c r="K332" s="62" t="s">
        <v>111</v>
      </c>
      <c r="L332" s="62" t="s">
        <v>46</v>
      </c>
      <c r="M332" s="62" t="s">
        <v>643</v>
      </c>
      <c r="N332" s="5">
        <v>0</v>
      </c>
      <c r="O332" s="8">
        <v>0</v>
      </c>
      <c r="P332" s="69">
        <v>190000</v>
      </c>
      <c r="Q332" s="69">
        <v>220000</v>
      </c>
      <c r="R332" s="69">
        <v>205000</v>
      </c>
      <c r="S332" s="62" t="s">
        <v>102</v>
      </c>
      <c r="T332" s="8">
        <f t="shared" si="14"/>
        <v>13</v>
      </c>
      <c r="U332" s="8">
        <v>1</v>
      </c>
      <c r="V332" s="8">
        <v>1</v>
      </c>
      <c r="W332" s="8">
        <v>1</v>
      </c>
      <c r="X332" s="8">
        <v>0</v>
      </c>
      <c r="Y332" s="8">
        <v>1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62" t="s">
        <v>146</v>
      </c>
      <c r="AL332" s="62" t="s">
        <v>169</v>
      </c>
      <c r="AM332" s="62" t="s">
        <v>77</v>
      </c>
      <c r="AN332" s="5"/>
      <c r="AO332" s="7"/>
    </row>
    <row r="333" spans="1:41" ht="15.75" customHeight="1" x14ac:dyDescent="0.25">
      <c r="A333" s="4">
        <v>332</v>
      </c>
      <c r="B333" s="5" t="s">
        <v>832</v>
      </c>
      <c r="C333" s="58">
        <v>3.1</v>
      </c>
      <c r="D333" s="61" t="s">
        <v>833</v>
      </c>
      <c r="E333" s="72" t="s">
        <v>834</v>
      </c>
      <c r="F333" s="62" t="s">
        <v>835</v>
      </c>
      <c r="G333" s="8" t="s">
        <v>120</v>
      </c>
      <c r="H333" s="8">
        <v>1875</v>
      </c>
      <c r="I333" s="62" t="s">
        <v>44</v>
      </c>
      <c r="J333" s="62" t="s">
        <v>499</v>
      </c>
      <c r="K333" s="62" t="s">
        <v>427</v>
      </c>
      <c r="L333" s="62" t="s">
        <v>128</v>
      </c>
      <c r="M333" s="62" t="s">
        <v>47</v>
      </c>
      <c r="N333" s="5">
        <v>0</v>
      </c>
      <c r="O333" s="8">
        <v>0</v>
      </c>
      <c r="P333" s="69">
        <v>68000</v>
      </c>
      <c r="Q333" s="69">
        <v>139000</v>
      </c>
      <c r="R333" s="69">
        <v>103500</v>
      </c>
      <c r="S333" s="62" t="s">
        <v>181</v>
      </c>
      <c r="T333" s="8">
        <f t="shared" si="14"/>
        <v>148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62" t="s">
        <v>107</v>
      </c>
      <c r="AL333" s="62" t="s">
        <v>50</v>
      </c>
      <c r="AM333" s="62" t="s">
        <v>77</v>
      </c>
      <c r="AN333" s="5"/>
      <c r="AO333" s="7"/>
    </row>
    <row r="334" spans="1:41" ht="15.75" customHeight="1" x14ac:dyDescent="0.25">
      <c r="A334" s="4">
        <v>333</v>
      </c>
      <c r="B334" s="5" t="s">
        <v>836</v>
      </c>
      <c r="C334" s="58">
        <v>3.6</v>
      </c>
      <c r="D334" s="61" t="s">
        <v>550</v>
      </c>
      <c r="E334" s="72" t="s">
        <v>551</v>
      </c>
      <c r="F334" s="62" t="s">
        <v>551</v>
      </c>
      <c r="G334" s="8" t="s">
        <v>120</v>
      </c>
      <c r="H334" s="8">
        <v>1851</v>
      </c>
      <c r="I334" s="62" t="s">
        <v>44</v>
      </c>
      <c r="J334" s="62" t="s">
        <v>161</v>
      </c>
      <c r="K334" s="62" t="s">
        <v>162</v>
      </c>
      <c r="L334" s="62" t="s">
        <v>128</v>
      </c>
      <c r="M334" s="62" t="s">
        <v>47</v>
      </c>
      <c r="N334" s="5">
        <v>0</v>
      </c>
      <c r="O334" s="8">
        <v>0</v>
      </c>
      <c r="P334" s="69">
        <v>34000</v>
      </c>
      <c r="Q334" s="69">
        <v>92000</v>
      </c>
      <c r="R334" s="69">
        <v>63000</v>
      </c>
      <c r="S334" s="62" t="s">
        <v>138</v>
      </c>
      <c r="T334" s="8">
        <f t="shared" si="14"/>
        <v>172</v>
      </c>
      <c r="U334" s="8">
        <v>0</v>
      </c>
      <c r="V334" s="8">
        <v>0</v>
      </c>
      <c r="W334" s="8">
        <v>0</v>
      </c>
      <c r="X334" s="8">
        <v>1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62" t="s">
        <v>486</v>
      </c>
      <c r="AL334" s="62" t="s">
        <v>50</v>
      </c>
      <c r="AM334" s="62" t="s">
        <v>51</v>
      </c>
      <c r="AN334" s="5"/>
      <c r="AO334" s="7"/>
    </row>
    <row r="335" spans="1:41" ht="15.75" customHeight="1" x14ac:dyDescent="0.25">
      <c r="A335" s="4">
        <v>334</v>
      </c>
      <c r="B335" s="5" t="s">
        <v>837</v>
      </c>
      <c r="C335" s="58">
        <v>3</v>
      </c>
      <c r="D335" s="61" t="s">
        <v>838</v>
      </c>
      <c r="E335" s="72" t="s">
        <v>839</v>
      </c>
      <c r="F335" s="62" t="s">
        <v>840</v>
      </c>
      <c r="G335" s="8" t="s">
        <v>56</v>
      </c>
      <c r="H335" s="8">
        <v>1981</v>
      </c>
      <c r="I335" s="62" t="s">
        <v>89</v>
      </c>
      <c r="J335" s="62" t="s">
        <v>213</v>
      </c>
      <c r="K335" s="62" t="s">
        <v>111</v>
      </c>
      <c r="L335" s="62" t="s">
        <v>128</v>
      </c>
      <c r="M335" s="62" t="s">
        <v>841</v>
      </c>
      <c r="N335" s="5">
        <v>0</v>
      </c>
      <c r="O335" s="8">
        <v>0</v>
      </c>
      <c r="P335" s="69">
        <v>54000</v>
      </c>
      <c r="Q335" s="69">
        <v>71000</v>
      </c>
      <c r="R335" s="69">
        <v>62500</v>
      </c>
      <c r="S335" s="62" t="s">
        <v>197</v>
      </c>
      <c r="T335" s="8">
        <f t="shared" si="14"/>
        <v>42</v>
      </c>
      <c r="U335" s="8">
        <v>0</v>
      </c>
      <c r="V335" s="8">
        <v>0</v>
      </c>
      <c r="W335" s="8">
        <v>0</v>
      </c>
      <c r="X335" s="8">
        <v>1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62" t="s">
        <v>1291</v>
      </c>
      <c r="AL335" s="62" t="s">
        <v>50</v>
      </c>
      <c r="AM335" s="62" t="s">
        <v>77</v>
      </c>
      <c r="AN335" s="5"/>
      <c r="AO335" s="7"/>
    </row>
    <row r="336" spans="1:41" ht="15.75" customHeight="1" x14ac:dyDescent="0.25">
      <c r="A336" s="4">
        <v>335</v>
      </c>
      <c r="B336" s="5" t="s">
        <v>224</v>
      </c>
      <c r="C336" s="58">
        <v>3.5</v>
      </c>
      <c r="D336" s="61" t="s">
        <v>842</v>
      </c>
      <c r="E336" s="72" t="s">
        <v>843</v>
      </c>
      <c r="F336" s="62" t="s">
        <v>843</v>
      </c>
      <c r="G336" s="8" t="s">
        <v>43</v>
      </c>
      <c r="H336" s="8">
        <v>2013</v>
      </c>
      <c r="I336" s="62" t="s">
        <v>44</v>
      </c>
      <c r="J336" s="62" t="s">
        <v>58</v>
      </c>
      <c r="K336" s="62" t="s">
        <v>59</v>
      </c>
      <c r="L336" s="62" t="s">
        <v>83</v>
      </c>
      <c r="M336" s="62" t="s">
        <v>47</v>
      </c>
      <c r="N336" s="5">
        <v>0</v>
      </c>
      <c r="O336" s="8">
        <v>0</v>
      </c>
      <c r="P336" s="69">
        <v>65000</v>
      </c>
      <c r="Q336" s="69">
        <v>124000</v>
      </c>
      <c r="R336" s="69">
        <v>94500</v>
      </c>
      <c r="S336" s="62" t="s">
        <v>102</v>
      </c>
      <c r="T336" s="8">
        <f t="shared" si="14"/>
        <v>10</v>
      </c>
      <c r="U336" s="8">
        <v>1</v>
      </c>
      <c r="V336" s="8">
        <v>1</v>
      </c>
      <c r="W336" s="8">
        <v>1</v>
      </c>
      <c r="X336" s="8">
        <v>1</v>
      </c>
      <c r="Y336" s="8">
        <v>1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1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62" t="s">
        <v>146</v>
      </c>
      <c r="AL336" s="62" t="s">
        <v>50</v>
      </c>
      <c r="AM336" s="62" t="s">
        <v>51</v>
      </c>
      <c r="AN336" s="5"/>
      <c r="AO336" s="7"/>
    </row>
    <row r="337" spans="1:41" ht="15.75" customHeight="1" x14ac:dyDescent="0.25">
      <c r="A337" s="4">
        <v>336</v>
      </c>
      <c r="B337" s="5" t="s">
        <v>644</v>
      </c>
      <c r="C337" s="58">
        <v>3.6</v>
      </c>
      <c r="D337" s="61" t="s">
        <v>645</v>
      </c>
      <c r="E337" s="72" t="s">
        <v>646</v>
      </c>
      <c r="F337" s="62" t="s">
        <v>646</v>
      </c>
      <c r="G337" s="8" t="s">
        <v>70</v>
      </c>
      <c r="H337" s="8">
        <v>1986</v>
      </c>
      <c r="I337" s="62" t="s">
        <v>44</v>
      </c>
      <c r="J337" s="62" t="s">
        <v>647</v>
      </c>
      <c r="K337" s="62" t="s">
        <v>648</v>
      </c>
      <c r="L337" s="62" t="s">
        <v>66</v>
      </c>
      <c r="M337" s="62" t="s">
        <v>47</v>
      </c>
      <c r="N337" s="5">
        <v>0</v>
      </c>
      <c r="O337" s="8">
        <v>0</v>
      </c>
      <c r="P337" s="69">
        <v>35000</v>
      </c>
      <c r="Q337" s="69">
        <v>62000</v>
      </c>
      <c r="R337" s="69">
        <v>48500</v>
      </c>
      <c r="S337" s="62" t="s">
        <v>102</v>
      </c>
      <c r="T337" s="8">
        <f t="shared" si="14"/>
        <v>37</v>
      </c>
      <c r="U337" s="8">
        <v>0</v>
      </c>
      <c r="V337" s="8">
        <v>0</v>
      </c>
      <c r="W337" s="8">
        <v>0</v>
      </c>
      <c r="X337" s="8">
        <v>1</v>
      </c>
      <c r="Y337" s="8">
        <v>1</v>
      </c>
      <c r="Z337" s="8">
        <v>1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1</v>
      </c>
      <c r="AG337" s="8">
        <v>0</v>
      </c>
      <c r="AH337" s="8">
        <v>0</v>
      </c>
      <c r="AI337" s="8">
        <v>0</v>
      </c>
      <c r="AJ337" s="8">
        <v>1</v>
      </c>
      <c r="AK337" s="62" t="s">
        <v>132</v>
      </c>
      <c r="AL337" s="62" t="s">
        <v>50</v>
      </c>
      <c r="AM337" s="62" t="s">
        <v>51</v>
      </c>
      <c r="AN337" s="5"/>
      <c r="AO337" s="7"/>
    </row>
    <row r="338" spans="1:41" ht="15.75" customHeight="1" x14ac:dyDescent="0.25">
      <c r="A338" s="4">
        <v>337</v>
      </c>
      <c r="B338" s="5" t="s">
        <v>844</v>
      </c>
      <c r="C338" s="58">
        <v>3.5</v>
      </c>
      <c r="D338" s="61" t="s">
        <v>566</v>
      </c>
      <c r="E338" s="72" t="s">
        <v>231</v>
      </c>
      <c r="F338" s="62" t="s">
        <v>231</v>
      </c>
      <c r="G338" s="8" t="s">
        <v>70</v>
      </c>
      <c r="H338" s="8">
        <v>2010</v>
      </c>
      <c r="I338" s="62" t="s">
        <v>44</v>
      </c>
      <c r="J338" s="62" t="s">
        <v>136</v>
      </c>
      <c r="K338" s="62" t="s">
        <v>136</v>
      </c>
      <c r="L338" s="62" t="s">
        <v>91</v>
      </c>
      <c r="M338" s="62" t="s">
        <v>567</v>
      </c>
      <c r="N338" s="5">
        <v>0</v>
      </c>
      <c r="O338" s="8">
        <v>0</v>
      </c>
      <c r="P338" s="69">
        <v>109000</v>
      </c>
      <c r="Q338" s="69">
        <v>200000</v>
      </c>
      <c r="R338" s="69">
        <v>154500</v>
      </c>
      <c r="S338" s="62" t="s">
        <v>138</v>
      </c>
      <c r="T338" s="8">
        <f t="shared" si="14"/>
        <v>13</v>
      </c>
      <c r="U338" s="8">
        <v>1</v>
      </c>
      <c r="V338" s="8">
        <v>0</v>
      </c>
      <c r="W338" s="8">
        <v>0</v>
      </c>
      <c r="X338" s="8">
        <v>1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62" t="s">
        <v>107</v>
      </c>
      <c r="AL338" s="62" t="s">
        <v>169</v>
      </c>
      <c r="AM338" s="62" t="s">
        <v>108</v>
      </c>
      <c r="AN338" s="5"/>
      <c r="AO338" s="7"/>
    </row>
    <row r="339" spans="1:41" ht="15.75" customHeight="1" x14ac:dyDescent="0.25">
      <c r="A339" s="4">
        <v>338</v>
      </c>
      <c r="B339" s="5" t="s">
        <v>649</v>
      </c>
      <c r="C339" s="58">
        <v>4</v>
      </c>
      <c r="D339" s="61" t="s">
        <v>650</v>
      </c>
      <c r="E339" s="72" t="s">
        <v>651</v>
      </c>
      <c r="F339" s="62" t="s">
        <v>652</v>
      </c>
      <c r="G339" s="8" t="s">
        <v>70</v>
      </c>
      <c r="H339" s="8">
        <v>1977</v>
      </c>
      <c r="I339" s="62" t="s">
        <v>106</v>
      </c>
      <c r="J339" s="62" t="s">
        <v>58</v>
      </c>
      <c r="K339" s="62" t="s">
        <v>59</v>
      </c>
      <c r="L339" s="62" t="s">
        <v>46</v>
      </c>
      <c r="M339" s="62" t="s">
        <v>47</v>
      </c>
      <c r="N339" s="5">
        <v>1</v>
      </c>
      <c r="O339" s="8">
        <v>0</v>
      </c>
      <c r="P339" s="69">
        <v>37000</v>
      </c>
      <c r="Q339" s="69">
        <v>52000</v>
      </c>
      <c r="R339" s="69">
        <v>44500</v>
      </c>
      <c r="S339" s="62" t="s">
        <v>93</v>
      </c>
      <c r="T339" s="8">
        <f t="shared" si="14"/>
        <v>46</v>
      </c>
      <c r="U339" s="8">
        <v>0</v>
      </c>
      <c r="V339" s="8">
        <v>0</v>
      </c>
      <c r="W339" s="8">
        <v>1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62" t="s">
        <v>107</v>
      </c>
      <c r="AL339" s="62" t="s">
        <v>50</v>
      </c>
      <c r="AM339" s="62" t="s">
        <v>77</v>
      </c>
      <c r="AN339" s="5"/>
      <c r="AO339" s="7"/>
    </row>
    <row r="340" spans="1:41" ht="15.75" customHeight="1" x14ac:dyDescent="0.25">
      <c r="A340" s="4">
        <v>339</v>
      </c>
      <c r="B340" s="5" t="s">
        <v>845</v>
      </c>
      <c r="C340" s="58">
        <v>3.7</v>
      </c>
      <c r="D340" s="61" t="s">
        <v>846</v>
      </c>
      <c r="E340" s="72" t="s">
        <v>847</v>
      </c>
      <c r="F340" s="62" t="s">
        <v>172</v>
      </c>
      <c r="G340" s="8" t="s">
        <v>43</v>
      </c>
      <c r="H340" s="8">
        <v>1973</v>
      </c>
      <c r="I340" s="62" t="s">
        <v>89</v>
      </c>
      <c r="J340" s="62" t="s">
        <v>848</v>
      </c>
      <c r="K340" s="62" t="s">
        <v>96</v>
      </c>
      <c r="L340" s="62" t="s">
        <v>74</v>
      </c>
      <c r="M340" s="62" t="s">
        <v>47</v>
      </c>
      <c r="N340" s="5">
        <v>0</v>
      </c>
      <c r="O340" s="8">
        <v>0</v>
      </c>
      <c r="P340" s="69">
        <v>61000</v>
      </c>
      <c r="Q340" s="69">
        <v>113000</v>
      </c>
      <c r="R340" s="69">
        <v>87000</v>
      </c>
      <c r="S340" s="62" t="s">
        <v>849</v>
      </c>
      <c r="T340" s="8">
        <f t="shared" si="14"/>
        <v>50</v>
      </c>
      <c r="U340" s="8">
        <v>1</v>
      </c>
      <c r="V340" s="8">
        <v>0</v>
      </c>
      <c r="W340" s="8">
        <v>0</v>
      </c>
      <c r="X340" s="8">
        <v>1</v>
      </c>
      <c r="Y340" s="8">
        <v>1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1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62" t="s">
        <v>508</v>
      </c>
      <c r="AL340" s="62" t="s">
        <v>50</v>
      </c>
      <c r="AM340" s="62" t="s">
        <v>77</v>
      </c>
      <c r="AN340" s="5"/>
      <c r="AO340" s="7"/>
    </row>
    <row r="341" spans="1:41" ht="15.75" customHeight="1" x14ac:dyDescent="0.25">
      <c r="A341" s="4">
        <v>340</v>
      </c>
      <c r="B341" s="5" t="s">
        <v>653</v>
      </c>
      <c r="C341" s="58">
        <v>2.4</v>
      </c>
      <c r="D341" s="61" t="s">
        <v>654</v>
      </c>
      <c r="E341" s="72" t="s">
        <v>655</v>
      </c>
      <c r="F341" s="62" t="s">
        <v>656</v>
      </c>
      <c r="G341" s="8" t="s">
        <v>43</v>
      </c>
      <c r="H341" s="8" t="s">
        <v>47</v>
      </c>
      <c r="I341" s="62" t="s">
        <v>44</v>
      </c>
      <c r="J341" s="62" t="s">
        <v>657</v>
      </c>
      <c r="K341" s="62" t="s">
        <v>427</v>
      </c>
      <c r="L341" s="62" t="s">
        <v>66</v>
      </c>
      <c r="M341" s="62" t="s">
        <v>47</v>
      </c>
      <c r="N341" s="5">
        <v>0</v>
      </c>
      <c r="O341" s="8">
        <v>0</v>
      </c>
      <c r="P341" s="69">
        <v>39000</v>
      </c>
      <c r="Q341" s="69">
        <v>66000</v>
      </c>
      <c r="R341" s="69">
        <v>52500</v>
      </c>
      <c r="S341" s="62" t="s">
        <v>176</v>
      </c>
      <c r="T341" s="8" t="s">
        <v>47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62" t="s">
        <v>107</v>
      </c>
      <c r="AL341" s="62" t="s">
        <v>50</v>
      </c>
      <c r="AM341" s="62" t="s">
        <v>77</v>
      </c>
      <c r="AN341" s="5"/>
      <c r="AO341" s="7"/>
    </row>
    <row r="342" spans="1:41" ht="15.75" customHeight="1" x14ac:dyDescent="0.25">
      <c r="A342" s="4">
        <v>341</v>
      </c>
      <c r="B342" s="5" t="s">
        <v>224</v>
      </c>
      <c r="C342" s="58">
        <v>3.2</v>
      </c>
      <c r="D342" s="61" t="s">
        <v>850</v>
      </c>
      <c r="E342" s="72" t="s">
        <v>79</v>
      </c>
      <c r="F342" s="62" t="s">
        <v>80</v>
      </c>
      <c r="G342" s="8" t="s">
        <v>43</v>
      </c>
      <c r="H342" s="8">
        <v>2003</v>
      </c>
      <c r="I342" s="62" t="s">
        <v>44</v>
      </c>
      <c r="J342" s="62" t="s">
        <v>121</v>
      </c>
      <c r="K342" s="62" t="s">
        <v>65</v>
      </c>
      <c r="L342" s="62" t="s">
        <v>83</v>
      </c>
      <c r="M342" s="62" t="s">
        <v>851</v>
      </c>
      <c r="N342" s="5">
        <v>0</v>
      </c>
      <c r="O342" s="8">
        <v>0</v>
      </c>
      <c r="P342" s="69">
        <v>43000</v>
      </c>
      <c r="Q342" s="69">
        <v>86000</v>
      </c>
      <c r="R342" s="69">
        <v>64500</v>
      </c>
      <c r="S342" s="62" t="s">
        <v>85</v>
      </c>
      <c r="T342" s="8">
        <f>2023-H342</f>
        <v>20</v>
      </c>
      <c r="U342" s="8">
        <v>1</v>
      </c>
      <c r="V342" s="8">
        <v>0</v>
      </c>
      <c r="W342" s="8">
        <v>1</v>
      </c>
      <c r="X342" s="8">
        <v>1</v>
      </c>
      <c r="Y342" s="8">
        <v>1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62" t="s">
        <v>146</v>
      </c>
      <c r="AL342" s="62" t="s">
        <v>50</v>
      </c>
      <c r="AM342" s="62" t="s">
        <v>77</v>
      </c>
      <c r="AN342" s="5"/>
      <c r="AO342" s="7"/>
    </row>
    <row r="343" spans="1:41" ht="15.75" customHeight="1" x14ac:dyDescent="0.25">
      <c r="A343" s="4">
        <v>342</v>
      </c>
      <c r="B343" s="5" t="s">
        <v>852</v>
      </c>
      <c r="C343" s="58">
        <v>2.1</v>
      </c>
      <c r="D343" s="61" t="s">
        <v>853</v>
      </c>
      <c r="E343" s="72" t="s">
        <v>854</v>
      </c>
      <c r="F343" s="62" t="s">
        <v>854</v>
      </c>
      <c r="G343" s="8" t="s">
        <v>88</v>
      </c>
      <c r="H343" s="8" t="s">
        <v>47</v>
      </c>
      <c r="I343" s="62" t="s">
        <v>89</v>
      </c>
      <c r="J343" s="62" t="s">
        <v>136</v>
      </c>
      <c r="K343" s="62" t="s">
        <v>136</v>
      </c>
      <c r="L343" s="62" t="s">
        <v>101</v>
      </c>
      <c r="M343" s="62" t="s">
        <v>47</v>
      </c>
      <c r="N343" s="5">
        <v>0</v>
      </c>
      <c r="O343" s="8">
        <v>0</v>
      </c>
      <c r="P343" s="69">
        <v>74000</v>
      </c>
      <c r="Q343" s="69">
        <v>149000</v>
      </c>
      <c r="R343" s="69">
        <v>111500</v>
      </c>
      <c r="S343" s="62" t="s">
        <v>102</v>
      </c>
      <c r="T343" s="8" t="s">
        <v>47</v>
      </c>
      <c r="U343" s="8">
        <v>0</v>
      </c>
      <c r="V343" s="8">
        <v>0</v>
      </c>
      <c r="W343" s="8">
        <v>0</v>
      </c>
      <c r="X343" s="8">
        <v>1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62" t="s">
        <v>107</v>
      </c>
      <c r="AL343" s="62" t="s">
        <v>50</v>
      </c>
      <c r="AM343" s="62" t="s">
        <v>108</v>
      </c>
      <c r="AN343" s="5"/>
      <c r="AO343" s="7"/>
    </row>
    <row r="344" spans="1:41" ht="15.75" customHeight="1" x14ac:dyDescent="0.25">
      <c r="A344" s="4">
        <v>343</v>
      </c>
      <c r="B344" s="5" t="s">
        <v>855</v>
      </c>
      <c r="C344" s="58">
        <v>3.7</v>
      </c>
      <c r="D344" s="61" t="s">
        <v>133</v>
      </c>
      <c r="E344" s="72" t="s">
        <v>134</v>
      </c>
      <c r="F344" s="62" t="s">
        <v>135</v>
      </c>
      <c r="G344" s="8" t="s">
        <v>56</v>
      </c>
      <c r="H344" s="8">
        <v>1781</v>
      </c>
      <c r="I344" s="62" t="s">
        <v>89</v>
      </c>
      <c r="J344" s="62" t="s">
        <v>136</v>
      </c>
      <c r="K344" s="62" t="s">
        <v>136</v>
      </c>
      <c r="L344" s="62" t="s">
        <v>128</v>
      </c>
      <c r="M344" s="62" t="s">
        <v>137</v>
      </c>
      <c r="N344" s="5">
        <v>0</v>
      </c>
      <c r="O344" s="8">
        <v>0</v>
      </c>
      <c r="P344" s="69">
        <v>113000</v>
      </c>
      <c r="Q344" s="69">
        <v>196000</v>
      </c>
      <c r="R344" s="69">
        <v>154500</v>
      </c>
      <c r="S344" s="62" t="s">
        <v>138</v>
      </c>
      <c r="T344" s="8">
        <f t="shared" ref="T344:T371" si="15">2023-H344</f>
        <v>242</v>
      </c>
      <c r="U344" s="8">
        <v>0</v>
      </c>
      <c r="V344" s="8">
        <v>1</v>
      </c>
      <c r="W344" s="8">
        <v>1</v>
      </c>
      <c r="X344" s="8">
        <v>1</v>
      </c>
      <c r="Y344" s="8">
        <v>1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1</v>
      </c>
      <c r="AF344" s="8">
        <v>0</v>
      </c>
      <c r="AG344" s="8">
        <v>0</v>
      </c>
      <c r="AH344" s="8">
        <v>0</v>
      </c>
      <c r="AI344" s="8">
        <v>1</v>
      </c>
      <c r="AJ344" s="8">
        <v>0</v>
      </c>
      <c r="AK344" s="62" t="s">
        <v>146</v>
      </c>
      <c r="AL344" s="62" t="s">
        <v>50</v>
      </c>
      <c r="AM344" s="62" t="s">
        <v>51</v>
      </c>
      <c r="AN344" s="5"/>
      <c r="AO344" s="7"/>
    </row>
    <row r="345" spans="1:41" ht="15.75" customHeight="1" x14ac:dyDescent="0.25">
      <c r="A345" s="4">
        <v>344</v>
      </c>
      <c r="B345" s="5" t="s">
        <v>658</v>
      </c>
      <c r="C345" s="58">
        <v>2.6</v>
      </c>
      <c r="D345" s="61" t="s">
        <v>530</v>
      </c>
      <c r="E345" s="72" t="s">
        <v>342</v>
      </c>
      <c r="F345" s="62" t="s">
        <v>342</v>
      </c>
      <c r="G345" s="8" t="s">
        <v>43</v>
      </c>
      <c r="H345" s="8">
        <v>1984</v>
      </c>
      <c r="I345" s="62" t="s">
        <v>531</v>
      </c>
      <c r="J345" s="62" t="s">
        <v>532</v>
      </c>
      <c r="K345" s="62" t="s">
        <v>415</v>
      </c>
      <c r="L345" s="62" t="s">
        <v>83</v>
      </c>
      <c r="M345" s="62" t="s">
        <v>47</v>
      </c>
      <c r="N345" s="5">
        <v>0</v>
      </c>
      <c r="O345" s="8">
        <v>0</v>
      </c>
      <c r="P345" s="69">
        <v>81000</v>
      </c>
      <c r="Q345" s="69">
        <v>167000</v>
      </c>
      <c r="R345" s="69">
        <v>124000</v>
      </c>
      <c r="S345" s="62" t="s">
        <v>305</v>
      </c>
      <c r="T345" s="8">
        <f t="shared" si="15"/>
        <v>39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62" t="s">
        <v>508</v>
      </c>
      <c r="AL345" s="62" t="s">
        <v>169</v>
      </c>
      <c r="AM345" s="62" t="s">
        <v>108</v>
      </c>
      <c r="AN345" s="5"/>
      <c r="AO345" s="7"/>
    </row>
    <row r="346" spans="1:41" ht="15.75" customHeight="1" x14ac:dyDescent="0.25">
      <c r="A346" s="4">
        <v>345</v>
      </c>
      <c r="B346" s="5" t="s">
        <v>220</v>
      </c>
      <c r="C346" s="58">
        <v>4.4000000000000004</v>
      </c>
      <c r="D346" s="61" t="s">
        <v>489</v>
      </c>
      <c r="E346" s="72" t="s">
        <v>172</v>
      </c>
      <c r="F346" s="62" t="s">
        <v>172</v>
      </c>
      <c r="G346" s="8" t="s">
        <v>88</v>
      </c>
      <c r="H346" s="8">
        <v>2008</v>
      </c>
      <c r="I346" s="62" t="s">
        <v>44</v>
      </c>
      <c r="J346" s="62" t="s">
        <v>100</v>
      </c>
      <c r="K346" s="62" t="s">
        <v>65</v>
      </c>
      <c r="L346" s="62" t="s">
        <v>46</v>
      </c>
      <c r="M346" s="62" t="s">
        <v>47</v>
      </c>
      <c r="N346" s="5">
        <v>0</v>
      </c>
      <c r="O346" s="8">
        <v>0</v>
      </c>
      <c r="P346" s="69">
        <v>97000</v>
      </c>
      <c r="Q346" s="69">
        <v>160000</v>
      </c>
      <c r="R346" s="69">
        <v>128500</v>
      </c>
      <c r="S346" s="62" t="s">
        <v>176</v>
      </c>
      <c r="T346" s="8">
        <f t="shared" si="15"/>
        <v>15</v>
      </c>
      <c r="U346" s="8">
        <v>1</v>
      </c>
      <c r="V346" s="8">
        <v>0</v>
      </c>
      <c r="W346" s="8">
        <v>1</v>
      </c>
      <c r="X346" s="8">
        <v>1</v>
      </c>
      <c r="Y346" s="8">
        <v>1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1</v>
      </c>
      <c r="AF346" s="8">
        <v>1</v>
      </c>
      <c r="AG346" s="8">
        <v>0</v>
      </c>
      <c r="AH346" s="8">
        <v>0</v>
      </c>
      <c r="AI346" s="8">
        <v>0</v>
      </c>
      <c r="AJ346" s="8">
        <v>0</v>
      </c>
      <c r="AK346" s="62" t="s">
        <v>49</v>
      </c>
      <c r="AL346" s="62" t="s">
        <v>169</v>
      </c>
      <c r="AM346" s="62" t="s">
        <v>77</v>
      </c>
      <c r="AN346" s="5"/>
      <c r="AO346" s="7"/>
    </row>
    <row r="347" spans="1:41" ht="15.75" customHeight="1" x14ac:dyDescent="0.25">
      <c r="A347" s="4">
        <v>346</v>
      </c>
      <c r="B347" s="5" t="s">
        <v>856</v>
      </c>
      <c r="C347" s="58">
        <v>3.7</v>
      </c>
      <c r="D347" s="61" t="s">
        <v>857</v>
      </c>
      <c r="E347" s="72" t="s">
        <v>858</v>
      </c>
      <c r="F347" s="62" t="s">
        <v>858</v>
      </c>
      <c r="G347" s="8" t="s">
        <v>43</v>
      </c>
      <c r="H347" s="8">
        <v>1966</v>
      </c>
      <c r="I347" s="62" t="s">
        <v>106</v>
      </c>
      <c r="J347" s="62" t="s">
        <v>58</v>
      </c>
      <c r="K347" s="62" t="s">
        <v>59</v>
      </c>
      <c r="L347" s="62" t="s">
        <v>66</v>
      </c>
      <c r="M347" s="62" t="s">
        <v>47</v>
      </c>
      <c r="N347" s="5">
        <v>1</v>
      </c>
      <c r="O347" s="8">
        <v>0</v>
      </c>
      <c r="P347" s="69">
        <v>49000</v>
      </c>
      <c r="Q347" s="69">
        <v>81000</v>
      </c>
      <c r="R347" s="69">
        <v>65000</v>
      </c>
      <c r="S347" s="62" t="s">
        <v>163</v>
      </c>
      <c r="T347" s="8">
        <f t="shared" si="15"/>
        <v>57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62" t="s">
        <v>107</v>
      </c>
      <c r="AL347" s="62" t="s">
        <v>50</v>
      </c>
      <c r="AM347" s="62" t="s">
        <v>77</v>
      </c>
      <c r="AN347" s="5"/>
      <c r="AO347" s="7"/>
    </row>
    <row r="348" spans="1:41" ht="15.75" customHeight="1" x14ac:dyDescent="0.25">
      <c r="A348" s="4">
        <v>347</v>
      </c>
      <c r="B348" s="5" t="s">
        <v>659</v>
      </c>
      <c r="C348" s="58">
        <v>3.5</v>
      </c>
      <c r="D348" s="61" t="s">
        <v>660</v>
      </c>
      <c r="E348" s="72" t="s">
        <v>661</v>
      </c>
      <c r="F348" s="62" t="s">
        <v>662</v>
      </c>
      <c r="G348" s="8" t="s">
        <v>43</v>
      </c>
      <c r="H348" s="8">
        <v>1996</v>
      </c>
      <c r="I348" s="62" t="s">
        <v>160</v>
      </c>
      <c r="J348" s="62" t="s">
        <v>58</v>
      </c>
      <c r="K348" s="62" t="s">
        <v>59</v>
      </c>
      <c r="L348" s="62" t="s">
        <v>74</v>
      </c>
      <c r="M348" s="62" t="s">
        <v>47</v>
      </c>
      <c r="N348" s="5">
        <v>0</v>
      </c>
      <c r="O348" s="8">
        <v>0</v>
      </c>
      <c r="P348" s="69">
        <v>42000</v>
      </c>
      <c r="Q348" s="69">
        <v>86000</v>
      </c>
      <c r="R348" s="69">
        <v>64000</v>
      </c>
      <c r="S348" s="62" t="s">
        <v>102</v>
      </c>
      <c r="T348" s="8">
        <f t="shared" si="15"/>
        <v>27</v>
      </c>
      <c r="U348" s="8">
        <v>0</v>
      </c>
      <c r="V348" s="8">
        <v>0</v>
      </c>
      <c r="W348" s="8">
        <v>0</v>
      </c>
      <c r="X348" s="8">
        <v>0</v>
      </c>
      <c r="Y348" s="8">
        <v>1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1</v>
      </c>
      <c r="AG348" s="8">
        <v>0</v>
      </c>
      <c r="AH348" s="8">
        <v>0</v>
      </c>
      <c r="AI348" s="8">
        <v>0</v>
      </c>
      <c r="AJ348" s="8">
        <v>0</v>
      </c>
      <c r="AK348" s="62" t="s">
        <v>486</v>
      </c>
      <c r="AL348" s="62" t="s">
        <v>50</v>
      </c>
      <c r="AM348" s="62" t="s">
        <v>77</v>
      </c>
      <c r="AN348" s="5"/>
      <c r="AO348" s="7"/>
    </row>
    <row r="349" spans="1:41" ht="15.75" customHeight="1" x14ac:dyDescent="0.25">
      <c r="A349" s="4">
        <v>348</v>
      </c>
      <c r="B349" s="5" t="s">
        <v>663</v>
      </c>
      <c r="C349" s="58">
        <v>3</v>
      </c>
      <c r="D349" s="61" t="s">
        <v>664</v>
      </c>
      <c r="E349" s="72" t="s">
        <v>665</v>
      </c>
      <c r="F349" s="62" t="s">
        <v>665</v>
      </c>
      <c r="G349" s="8" t="s">
        <v>56</v>
      </c>
      <c r="H349" s="8">
        <v>1958</v>
      </c>
      <c r="I349" s="62" t="s">
        <v>44</v>
      </c>
      <c r="J349" s="62" t="s">
        <v>666</v>
      </c>
      <c r="K349" s="62" t="s">
        <v>116</v>
      </c>
      <c r="L349" s="62" t="s">
        <v>128</v>
      </c>
      <c r="M349" s="62" t="s">
        <v>667</v>
      </c>
      <c r="N349" s="5">
        <v>0</v>
      </c>
      <c r="O349" s="8">
        <v>0</v>
      </c>
      <c r="P349" s="69">
        <v>69000</v>
      </c>
      <c r="Q349" s="69">
        <v>127000</v>
      </c>
      <c r="R349" s="69">
        <v>98000</v>
      </c>
      <c r="S349" s="62" t="s">
        <v>542</v>
      </c>
      <c r="T349" s="8">
        <f t="shared" si="15"/>
        <v>65</v>
      </c>
      <c r="U349" s="8">
        <v>1</v>
      </c>
      <c r="V349" s="8">
        <v>0</v>
      </c>
      <c r="W349" s="8">
        <v>0</v>
      </c>
      <c r="X349" s="8">
        <v>0</v>
      </c>
      <c r="Y349" s="8">
        <v>1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62" t="s">
        <v>146</v>
      </c>
      <c r="AL349" s="62" t="s">
        <v>169</v>
      </c>
      <c r="AM349" s="62" t="s">
        <v>51</v>
      </c>
      <c r="AN349" s="5"/>
      <c r="AO349" s="7"/>
    </row>
    <row r="350" spans="1:41" ht="15.75" customHeight="1" x14ac:dyDescent="0.25">
      <c r="A350" s="4">
        <v>349</v>
      </c>
      <c r="B350" s="5" t="s">
        <v>234</v>
      </c>
      <c r="C350" s="58">
        <v>4.2</v>
      </c>
      <c r="D350" s="61" t="s">
        <v>157</v>
      </c>
      <c r="E350" s="72" t="s">
        <v>98</v>
      </c>
      <c r="F350" s="62" t="s">
        <v>114</v>
      </c>
      <c r="G350" s="8" t="s">
        <v>81</v>
      </c>
      <c r="H350" s="8">
        <v>2010</v>
      </c>
      <c r="I350" s="62" t="s">
        <v>44</v>
      </c>
      <c r="J350" s="62" t="s">
        <v>155</v>
      </c>
      <c r="K350" s="62" t="s">
        <v>111</v>
      </c>
      <c r="L350" s="62" t="s">
        <v>83</v>
      </c>
      <c r="M350" s="62" t="s">
        <v>47</v>
      </c>
      <c r="N350" s="5">
        <v>0</v>
      </c>
      <c r="O350" s="8">
        <v>0</v>
      </c>
      <c r="P350" s="69">
        <v>110000</v>
      </c>
      <c r="Q350" s="69">
        <v>175000</v>
      </c>
      <c r="R350" s="69">
        <v>142500</v>
      </c>
      <c r="S350" s="62" t="s">
        <v>102</v>
      </c>
      <c r="T350" s="8">
        <f t="shared" si="15"/>
        <v>13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62" t="s">
        <v>49</v>
      </c>
      <c r="AL350" s="62" t="s">
        <v>50</v>
      </c>
      <c r="AM350" s="62" t="s">
        <v>51</v>
      </c>
      <c r="AN350" s="5"/>
      <c r="AO350" s="7"/>
    </row>
    <row r="351" spans="1:41" ht="15.75" customHeight="1" x14ac:dyDescent="0.25">
      <c r="A351" s="4">
        <v>350</v>
      </c>
      <c r="B351" s="5" t="s">
        <v>859</v>
      </c>
      <c r="C351" s="58">
        <v>3.9</v>
      </c>
      <c r="D351" s="61" t="s">
        <v>860</v>
      </c>
      <c r="E351" s="72" t="s">
        <v>79</v>
      </c>
      <c r="F351" s="62" t="s">
        <v>861</v>
      </c>
      <c r="G351" s="8" t="s">
        <v>56</v>
      </c>
      <c r="H351" s="8">
        <v>1913</v>
      </c>
      <c r="I351" s="62" t="s">
        <v>89</v>
      </c>
      <c r="J351" s="62" t="s">
        <v>136</v>
      </c>
      <c r="K351" s="62" t="s">
        <v>136</v>
      </c>
      <c r="L351" s="62" t="s">
        <v>128</v>
      </c>
      <c r="M351" s="62" t="s">
        <v>862</v>
      </c>
      <c r="N351" s="5">
        <v>0</v>
      </c>
      <c r="O351" s="8">
        <v>0</v>
      </c>
      <c r="P351" s="69">
        <v>102000</v>
      </c>
      <c r="Q351" s="69">
        <v>172000</v>
      </c>
      <c r="R351" s="69">
        <v>137000</v>
      </c>
      <c r="S351" s="62" t="s">
        <v>85</v>
      </c>
      <c r="T351" s="8">
        <f t="shared" si="15"/>
        <v>110</v>
      </c>
      <c r="U351" s="8">
        <v>1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62" t="s">
        <v>49</v>
      </c>
      <c r="AL351" s="62" t="s">
        <v>169</v>
      </c>
      <c r="AM351" s="62" t="s">
        <v>108</v>
      </c>
      <c r="AN351" s="5"/>
      <c r="AO351" s="7"/>
    </row>
    <row r="352" spans="1:41" ht="15.75" customHeight="1" x14ac:dyDescent="0.25">
      <c r="A352" s="4">
        <v>351</v>
      </c>
      <c r="B352" s="5" t="s">
        <v>224</v>
      </c>
      <c r="C352" s="58">
        <v>4</v>
      </c>
      <c r="D352" s="61" t="s">
        <v>158</v>
      </c>
      <c r="E352" s="72" t="s">
        <v>159</v>
      </c>
      <c r="F352" s="62" t="s">
        <v>159</v>
      </c>
      <c r="G352" s="8" t="s">
        <v>43</v>
      </c>
      <c r="H352" s="8">
        <v>1915</v>
      </c>
      <c r="I352" s="62" t="s">
        <v>160</v>
      </c>
      <c r="J352" s="62" t="s">
        <v>161</v>
      </c>
      <c r="K352" s="62" t="s">
        <v>162</v>
      </c>
      <c r="L352" s="62" t="s">
        <v>74</v>
      </c>
      <c r="M352" s="62" t="s">
        <v>47</v>
      </c>
      <c r="N352" s="5">
        <v>0</v>
      </c>
      <c r="O352" s="8">
        <v>0</v>
      </c>
      <c r="P352" s="69">
        <v>74000</v>
      </c>
      <c r="Q352" s="69">
        <v>124000</v>
      </c>
      <c r="R352" s="69">
        <v>99000</v>
      </c>
      <c r="S352" s="62" t="s">
        <v>163</v>
      </c>
      <c r="T352" s="8">
        <f t="shared" si="15"/>
        <v>108</v>
      </c>
      <c r="U352" s="8">
        <v>1</v>
      </c>
      <c r="V352" s="8">
        <v>0</v>
      </c>
      <c r="W352" s="8">
        <v>1</v>
      </c>
      <c r="X352" s="8">
        <v>0</v>
      </c>
      <c r="Y352" s="8">
        <v>1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62" t="s">
        <v>146</v>
      </c>
      <c r="AL352" s="62" t="s">
        <v>50</v>
      </c>
      <c r="AM352" s="62" t="s">
        <v>51</v>
      </c>
      <c r="AN352" s="5"/>
      <c r="AO352" s="7"/>
    </row>
    <row r="353" spans="1:41" ht="15.75" customHeight="1" x14ac:dyDescent="0.25">
      <c r="A353" s="4">
        <v>352</v>
      </c>
      <c r="B353" s="5" t="s">
        <v>670</v>
      </c>
      <c r="C353" s="58">
        <v>3.3</v>
      </c>
      <c r="D353" s="61" t="s">
        <v>671</v>
      </c>
      <c r="E353" s="72" t="s">
        <v>401</v>
      </c>
      <c r="F353" s="62" t="s">
        <v>401</v>
      </c>
      <c r="G353" s="8" t="s">
        <v>43</v>
      </c>
      <c r="H353" s="8">
        <v>1964</v>
      </c>
      <c r="I353" s="62" t="s">
        <v>44</v>
      </c>
      <c r="J353" s="62" t="s">
        <v>657</v>
      </c>
      <c r="K353" s="62" t="s">
        <v>427</v>
      </c>
      <c r="L353" s="62" t="s">
        <v>83</v>
      </c>
      <c r="M353" s="62" t="s">
        <v>47</v>
      </c>
      <c r="N353" s="5">
        <v>0</v>
      </c>
      <c r="O353" s="8">
        <v>0</v>
      </c>
      <c r="P353" s="69">
        <v>40000</v>
      </c>
      <c r="Q353" s="69">
        <v>68000</v>
      </c>
      <c r="R353" s="69">
        <v>54000</v>
      </c>
      <c r="S353" s="62" t="s">
        <v>403</v>
      </c>
      <c r="T353" s="8">
        <f t="shared" si="15"/>
        <v>59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62" t="s">
        <v>107</v>
      </c>
      <c r="AL353" s="62" t="s">
        <v>50</v>
      </c>
      <c r="AM353" s="62" t="s">
        <v>77</v>
      </c>
      <c r="AN353" s="5"/>
      <c r="AO353" s="7"/>
    </row>
    <row r="354" spans="1:41" ht="15.75" customHeight="1" x14ac:dyDescent="0.25">
      <c r="A354" s="4">
        <v>353</v>
      </c>
      <c r="B354" s="5" t="s">
        <v>220</v>
      </c>
      <c r="C354" s="58">
        <v>4.4000000000000004</v>
      </c>
      <c r="D354" s="61" t="s">
        <v>863</v>
      </c>
      <c r="E354" s="72" t="s">
        <v>864</v>
      </c>
      <c r="F354" s="62" t="s">
        <v>864</v>
      </c>
      <c r="G354" s="8" t="s">
        <v>70</v>
      </c>
      <c r="H354" s="8">
        <v>1984</v>
      </c>
      <c r="I354" s="62" t="s">
        <v>44</v>
      </c>
      <c r="J354" s="62" t="s">
        <v>216</v>
      </c>
      <c r="K354" s="62" t="s">
        <v>111</v>
      </c>
      <c r="L354" s="62" t="s">
        <v>91</v>
      </c>
      <c r="M354" s="62" t="s">
        <v>47</v>
      </c>
      <c r="N354" s="5">
        <v>0</v>
      </c>
      <c r="O354" s="8">
        <v>0</v>
      </c>
      <c r="P354" s="69">
        <v>108000</v>
      </c>
      <c r="Q354" s="69">
        <v>171000</v>
      </c>
      <c r="R354" s="69">
        <v>139500</v>
      </c>
      <c r="S354" s="62" t="s">
        <v>138</v>
      </c>
      <c r="T354" s="8">
        <f t="shared" si="15"/>
        <v>39</v>
      </c>
      <c r="U354" s="8">
        <v>1</v>
      </c>
      <c r="V354" s="8">
        <v>0</v>
      </c>
      <c r="W354" s="8">
        <v>0</v>
      </c>
      <c r="X354" s="8">
        <v>0</v>
      </c>
      <c r="Y354" s="8">
        <v>1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1</v>
      </c>
      <c r="AG354" s="8">
        <v>1</v>
      </c>
      <c r="AH354" s="8">
        <v>0</v>
      </c>
      <c r="AI354" s="8">
        <v>0</v>
      </c>
      <c r="AJ354" s="8">
        <v>0</v>
      </c>
      <c r="AK354" s="62" t="s">
        <v>49</v>
      </c>
      <c r="AL354" s="62" t="s">
        <v>169</v>
      </c>
      <c r="AM354" s="62" t="s">
        <v>51</v>
      </c>
      <c r="AN354" s="5"/>
      <c r="AO354" s="7"/>
    </row>
    <row r="355" spans="1:41" ht="15.75" customHeight="1" x14ac:dyDescent="0.25">
      <c r="A355" s="4">
        <v>354</v>
      </c>
      <c r="B355" s="5" t="s">
        <v>224</v>
      </c>
      <c r="C355" s="58">
        <v>3.4</v>
      </c>
      <c r="D355" s="61" t="s">
        <v>865</v>
      </c>
      <c r="E355" s="72" t="s">
        <v>454</v>
      </c>
      <c r="F355" s="62" t="s">
        <v>339</v>
      </c>
      <c r="G355" s="8" t="s">
        <v>88</v>
      </c>
      <c r="H355" s="8">
        <v>1999</v>
      </c>
      <c r="I355" s="62" t="s">
        <v>44</v>
      </c>
      <c r="J355" s="62" t="s">
        <v>213</v>
      </c>
      <c r="K355" s="62" t="s">
        <v>111</v>
      </c>
      <c r="L355" s="62" t="s">
        <v>101</v>
      </c>
      <c r="M355" s="62" t="s">
        <v>47</v>
      </c>
      <c r="N355" s="5">
        <v>0</v>
      </c>
      <c r="O355" s="8">
        <v>0</v>
      </c>
      <c r="P355" s="69">
        <v>76000</v>
      </c>
      <c r="Q355" s="69">
        <v>142000</v>
      </c>
      <c r="R355" s="69">
        <v>109000</v>
      </c>
      <c r="S355" s="62" t="s">
        <v>61</v>
      </c>
      <c r="T355" s="8">
        <f t="shared" si="15"/>
        <v>24</v>
      </c>
      <c r="U355" s="8">
        <v>0</v>
      </c>
      <c r="V355" s="8">
        <v>0</v>
      </c>
      <c r="W355" s="8">
        <v>1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62" t="s">
        <v>146</v>
      </c>
      <c r="AL355" s="62" t="s">
        <v>50</v>
      </c>
      <c r="AM355" s="62" t="s">
        <v>51</v>
      </c>
      <c r="AN355" s="5"/>
      <c r="AO355" s="7"/>
    </row>
    <row r="356" spans="1:41" ht="15.75" customHeight="1" x14ac:dyDescent="0.25">
      <c r="A356" s="4">
        <v>355</v>
      </c>
      <c r="B356" s="5" t="s">
        <v>866</v>
      </c>
      <c r="C356" s="58">
        <v>3.3</v>
      </c>
      <c r="D356" s="61" t="s">
        <v>268</v>
      </c>
      <c r="E356" s="72" t="s">
        <v>172</v>
      </c>
      <c r="F356" s="62" t="s">
        <v>269</v>
      </c>
      <c r="G356" s="8" t="s">
        <v>56</v>
      </c>
      <c r="H356" s="8">
        <v>1912</v>
      </c>
      <c r="I356" s="62" t="s">
        <v>44</v>
      </c>
      <c r="J356" s="62" t="s">
        <v>161</v>
      </c>
      <c r="K356" s="62" t="s">
        <v>162</v>
      </c>
      <c r="L356" s="62" t="s">
        <v>128</v>
      </c>
      <c r="M356" s="62" t="s">
        <v>270</v>
      </c>
      <c r="N356" s="5">
        <v>0</v>
      </c>
      <c r="O356" s="8">
        <v>0</v>
      </c>
      <c r="P356" s="69">
        <v>202000</v>
      </c>
      <c r="Q356" s="69">
        <v>306000</v>
      </c>
      <c r="R356" s="69">
        <v>254000</v>
      </c>
      <c r="S356" s="62" t="s">
        <v>176</v>
      </c>
      <c r="T356" s="8">
        <f t="shared" si="15"/>
        <v>111</v>
      </c>
      <c r="U356" s="8">
        <v>1</v>
      </c>
      <c r="V356" s="8">
        <v>0</v>
      </c>
      <c r="W356" s="8">
        <v>0</v>
      </c>
      <c r="X356" s="8">
        <v>0</v>
      </c>
      <c r="Y356" s="8">
        <v>0</v>
      </c>
      <c r="Z356" s="8">
        <v>1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62" t="s">
        <v>49</v>
      </c>
      <c r="AL356" s="62" t="s">
        <v>50</v>
      </c>
      <c r="AM356" s="62" t="s">
        <v>51</v>
      </c>
      <c r="AN356" s="5"/>
      <c r="AO356" s="7"/>
    </row>
    <row r="357" spans="1:41" ht="15.75" customHeight="1" x14ac:dyDescent="0.25">
      <c r="A357" s="4">
        <v>356</v>
      </c>
      <c r="B357" s="5" t="s">
        <v>867</v>
      </c>
      <c r="C357" s="58">
        <v>2.9</v>
      </c>
      <c r="D357" s="61" t="s">
        <v>868</v>
      </c>
      <c r="E357" s="72" t="s">
        <v>554</v>
      </c>
      <c r="F357" s="62" t="s">
        <v>114</v>
      </c>
      <c r="G357" s="8" t="s">
        <v>88</v>
      </c>
      <c r="H357" s="8">
        <v>2012</v>
      </c>
      <c r="I357" s="62" t="s">
        <v>142</v>
      </c>
      <c r="J357" s="62" t="s">
        <v>136</v>
      </c>
      <c r="K357" s="62" t="s">
        <v>136</v>
      </c>
      <c r="L357" s="62" t="s">
        <v>83</v>
      </c>
      <c r="M357" s="62" t="s">
        <v>869</v>
      </c>
      <c r="N357" s="5">
        <v>0</v>
      </c>
      <c r="O357" s="8">
        <v>0</v>
      </c>
      <c r="P357" s="69">
        <v>49000</v>
      </c>
      <c r="Q357" s="69">
        <v>97000</v>
      </c>
      <c r="R357" s="69">
        <v>73000</v>
      </c>
      <c r="S357" s="62" t="s">
        <v>102</v>
      </c>
      <c r="T357" s="8">
        <f t="shared" si="15"/>
        <v>11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62" t="s">
        <v>107</v>
      </c>
      <c r="AL357" s="62" t="s">
        <v>50</v>
      </c>
      <c r="AM357" s="62" t="s">
        <v>108</v>
      </c>
      <c r="AN357" s="5"/>
      <c r="AO357" s="7"/>
    </row>
    <row r="358" spans="1:41" ht="15.75" customHeight="1" x14ac:dyDescent="0.25">
      <c r="A358" s="4">
        <v>357</v>
      </c>
      <c r="B358" s="5" t="s">
        <v>672</v>
      </c>
      <c r="C358" s="58">
        <v>2.7</v>
      </c>
      <c r="D358" s="61" t="s">
        <v>673</v>
      </c>
      <c r="E358" s="72" t="s">
        <v>454</v>
      </c>
      <c r="F358" s="62" t="s">
        <v>454</v>
      </c>
      <c r="G358" s="8" t="s">
        <v>88</v>
      </c>
      <c r="H358" s="8">
        <v>1961</v>
      </c>
      <c r="I358" s="62" t="s">
        <v>44</v>
      </c>
      <c r="J358" s="62" t="s">
        <v>136</v>
      </c>
      <c r="K358" s="62" t="s">
        <v>136</v>
      </c>
      <c r="L358" s="62" t="s">
        <v>101</v>
      </c>
      <c r="M358" s="62" t="s">
        <v>47</v>
      </c>
      <c r="N358" s="5">
        <v>0</v>
      </c>
      <c r="O358" s="8">
        <v>0</v>
      </c>
      <c r="P358" s="69">
        <v>49000</v>
      </c>
      <c r="Q358" s="69">
        <v>113000</v>
      </c>
      <c r="R358" s="69">
        <v>81000</v>
      </c>
      <c r="S358" s="62" t="s">
        <v>61</v>
      </c>
      <c r="T358" s="8">
        <f t="shared" si="15"/>
        <v>62</v>
      </c>
      <c r="U358" s="8">
        <v>0</v>
      </c>
      <c r="V358" s="8">
        <v>0</v>
      </c>
      <c r="W358" s="8">
        <v>0</v>
      </c>
      <c r="X358" s="8">
        <v>1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62" t="s">
        <v>107</v>
      </c>
      <c r="AL358" s="62" t="s">
        <v>50</v>
      </c>
      <c r="AM358" s="62" t="s">
        <v>108</v>
      </c>
      <c r="AN358" s="5"/>
      <c r="AO358" s="7"/>
    </row>
    <row r="359" spans="1:41" ht="15.75" customHeight="1" x14ac:dyDescent="0.25">
      <c r="A359" s="4">
        <v>358</v>
      </c>
      <c r="B359" s="5" t="s">
        <v>668</v>
      </c>
      <c r="C359" s="58">
        <v>3.6</v>
      </c>
      <c r="D359" s="61" t="s">
        <v>599</v>
      </c>
      <c r="E359" s="72" t="s">
        <v>669</v>
      </c>
      <c r="F359" s="62" t="s">
        <v>600</v>
      </c>
      <c r="G359" s="8" t="s">
        <v>70</v>
      </c>
      <c r="H359" s="8">
        <v>1935</v>
      </c>
      <c r="I359" s="62" t="s">
        <v>160</v>
      </c>
      <c r="J359" s="62" t="s">
        <v>58</v>
      </c>
      <c r="K359" s="62" t="s">
        <v>59</v>
      </c>
      <c r="L359" s="62" t="s">
        <v>66</v>
      </c>
      <c r="M359" s="62" t="s">
        <v>47</v>
      </c>
      <c r="N359" s="5">
        <v>1</v>
      </c>
      <c r="O359" s="8">
        <v>0</v>
      </c>
      <c r="P359" s="69">
        <v>43000</v>
      </c>
      <c r="Q359" s="69">
        <v>70000</v>
      </c>
      <c r="R359" s="69">
        <v>56500</v>
      </c>
      <c r="S359" s="62" t="s">
        <v>601</v>
      </c>
      <c r="T359" s="8">
        <f t="shared" si="15"/>
        <v>88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62" t="s">
        <v>107</v>
      </c>
      <c r="AL359" s="62" t="s">
        <v>50</v>
      </c>
      <c r="AM359" s="62" t="s">
        <v>77</v>
      </c>
      <c r="AN359" s="5"/>
      <c r="AO359" s="7"/>
    </row>
    <row r="360" spans="1:41" ht="15.75" customHeight="1" x14ac:dyDescent="0.25">
      <c r="A360" s="4">
        <v>359</v>
      </c>
      <c r="B360" s="5" t="s">
        <v>870</v>
      </c>
      <c r="C360" s="58">
        <v>3.1</v>
      </c>
      <c r="D360" s="61" t="s">
        <v>833</v>
      </c>
      <c r="E360" s="72" t="s">
        <v>871</v>
      </c>
      <c r="F360" s="62" t="s">
        <v>835</v>
      </c>
      <c r="G360" s="8" t="s">
        <v>120</v>
      </c>
      <c r="H360" s="8">
        <v>1875</v>
      </c>
      <c r="I360" s="62" t="s">
        <v>44</v>
      </c>
      <c r="J360" s="62" t="s">
        <v>499</v>
      </c>
      <c r="K360" s="62" t="s">
        <v>427</v>
      </c>
      <c r="L360" s="62" t="s">
        <v>128</v>
      </c>
      <c r="M360" s="62" t="s">
        <v>47</v>
      </c>
      <c r="N360" s="5">
        <v>0</v>
      </c>
      <c r="O360" s="8">
        <v>0</v>
      </c>
      <c r="P360" s="69">
        <v>65000</v>
      </c>
      <c r="Q360" s="69">
        <v>134000</v>
      </c>
      <c r="R360" s="69">
        <v>99500</v>
      </c>
      <c r="S360" s="62" t="s">
        <v>423</v>
      </c>
      <c r="T360" s="8">
        <f t="shared" si="15"/>
        <v>148</v>
      </c>
      <c r="U360" s="8">
        <v>0</v>
      </c>
      <c r="V360" s="8">
        <v>0</v>
      </c>
      <c r="W360" s="8">
        <v>0</v>
      </c>
      <c r="X360" s="8">
        <v>1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62" t="s">
        <v>107</v>
      </c>
      <c r="AL360" s="62" t="s">
        <v>50</v>
      </c>
      <c r="AM360" s="62" t="s">
        <v>77</v>
      </c>
      <c r="AN360" s="5"/>
      <c r="AO360" s="7"/>
    </row>
    <row r="361" spans="1:41" ht="15.75" customHeight="1" x14ac:dyDescent="0.25">
      <c r="A361" s="4">
        <v>360</v>
      </c>
      <c r="B361" s="5" t="s">
        <v>872</v>
      </c>
      <c r="C361" s="58">
        <v>3.3</v>
      </c>
      <c r="D361" s="61" t="s">
        <v>873</v>
      </c>
      <c r="E361" s="72" t="s">
        <v>874</v>
      </c>
      <c r="F361" s="62" t="s">
        <v>874</v>
      </c>
      <c r="G361" s="8" t="s">
        <v>43</v>
      </c>
      <c r="H361" s="8">
        <v>1989</v>
      </c>
      <c r="I361" s="62" t="s">
        <v>44</v>
      </c>
      <c r="J361" s="62" t="s">
        <v>161</v>
      </c>
      <c r="K361" s="62" t="s">
        <v>162</v>
      </c>
      <c r="L361" s="62" t="s">
        <v>74</v>
      </c>
      <c r="M361" s="62" t="s">
        <v>47</v>
      </c>
      <c r="N361" s="5">
        <v>0</v>
      </c>
      <c r="O361" s="8">
        <v>0</v>
      </c>
      <c r="P361" s="69">
        <v>32000</v>
      </c>
      <c r="Q361" s="69">
        <v>59000</v>
      </c>
      <c r="R361" s="69">
        <v>45500</v>
      </c>
      <c r="S361" s="62" t="s">
        <v>258</v>
      </c>
      <c r="T361" s="8">
        <f t="shared" si="15"/>
        <v>34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62" t="s">
        <v>132</v>
      </c>
      <c r="AL361" s="62" t="s">
        <v>50</v>
      </c>
      <c r="AM361" s="62" t="s">
        <v>77</v>
      </c>
      <c r="AN361" s="5"/>
      <c r="AO361" s="7"/>
    </row>
    <row r="362" spans="1:41" ht="15.75" customHeight="1" x14ac:dyDescent="0.25">
      <c r="A362" s="4">
        <v>361</v>
      </c>
      <c r="B362" s="5" t="s">
        <v>674</v>
      </c>
      <c r="C362" s="58">
        <v>4.5</v>
      </c>
      <c r="D362" s="61" t="s">
        <v>875</v>
      </c>
      <c r="E362" s="72" t="s">
        <v>324</v>
      </c>
      <c r="F362" s="62" t="s">
        <v>324</v>
      </c>
      <c r="G362" s="8" t="s">
        <v>81</v>
      </c>
      <c r="H362" s="8">
        <v>1996</v>
      </c>
      <c r="I362" s="62" t="s">
        <v>44</v>
      </c>
      <c r="J362" s="62" t="s">
        <v>100</v>
      </c>
      <c r="K362" s="62" t="s">
        <v>65</v>
      </c>
      <c r="L362" s="62" t="s">
        <v>101</v>
      </c>
      <c r="M362" s="62" t="s">
        <v>47</v>
      </c>
      <c r="N362" s="5">
        <v>0</v>
      </c>
      <c r="O362" s="8">
        <v>0</v>
      </c>
      <c r="P362" s="69">
        <v>87000</v>
      </c>
      <c r="Q362" s="69">
        <v>158000</v>
      </c>
      <c r="R362" s="69">
        <v>122500</v>
      </c>
      <c r="S362" s="62" t="s">
        <v>326</v>
      </c>
      <c r="T362" s="8">
        <f t="shared" si="15"/>
        <v>27</v>
      </c>
      <c r="U362" s="8">
        <v>1</v>
      </c>
      <c r="V362" s="8">
        <v>1</v>
      </c>
      <c r="W362" s="8">
        <v>1</v>
      </c>
      <c r="X362" s="8">
        <v>0</v>
      </c>
      <c r="Y362" s="8">
        <v>1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1</v>
      </c>
      <c r="AF362" s="8">
        <v>0</v>
      </c>
      <c r="AG362" s="8">
        <v>0</v>
      </c>
      <c r="AH362" s="8">
        <v>0</v>
      </c>
      <c r="AI362" s="8">
        <v>1</v>
      </c>
      <c r="AJ362" s="8">
        <v>0</v>
      </c>
      <c r="AK362" s="62" t="s">
        <v>146</v>
      </c>
      <c r="AL362" s="62" t="s">
        <v>169</v>
      </c>
      <c r="AM362" s="62" t="s">
        <v>77</v>
      </c>
      <c r="AN362" s="5"/>
      <c r="AO362" s="7"/>
    </row>
    <row r="363" spans="1:41" ht="15.75" customHeight="1" x14ac:dyDescent="0.25">
      <c r="A363" s="4">
        <v>362</v>
      </c>
      <c r="B363" s="5" t="s">
        <v>876</v>
      </c>
      <c r="C363" s="58">
        <v>3.9</v>
      </c>
      <c r="D363" s="61" t="s">
        <v>380</v>
      </c>
      <c r="E363" s="72" t="s">
        <v>172</v>
      </c>
      <c r="F363" s="62" t="s">
        <v>172</v>
      </c>
      <c r="G363" s="8" t="s">
        <v>120</v>
      </c>
      <c r="H363" s="8">
        <v>1968</v>
      </c>
      <c r="I363" s="62" t="s">
        <v>89</v>
      </c>
      <c r="J363" s="62" t="s">
        <v>381</v>
      </c>
      <c r="K363" s="62" t="s">
        <v>96</v>
      </c>
      <c r="L363" s="62" t="s">
        <v>91</v>
      </c>
      <c r="M363" s="62" t="s">
        <v>47</v>
      </c>
      <c r="N363" s="5">
        <v>0</v>
      </c>
      <c r="O363" s="8">
        <v>0</v>
      </c>
      <c r="P363" s="69">
        <v>107000</v>
      </c>
      <c r="Q363" s="69">
        <v>173000</v>
      </c>
      <c r="R363" s="69">
        <v>140000</v>
      </c>
      <c r="S363" s="62" t="s">
        <v>176</v>
      </c>
      <c r="T363" s="8">
        <f t="shared" si="15"/>
        <v>55</v>
      </c>
      <c r="U363" s="8">
        <v>1</v>
      </c>
      <c r="V363" s="8">
        <v>0</v>
      </c>
      <c r="W363" s="8">
        <v>0</v>
      </c>
      <c r="X363" s="8">
        <v>1</v>
      </c>
      <c r="Y363" s="8">
        <v>1</v>
      </c>
      <c r="Z363" s="8">
        <v>1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62" t="s">
        <v>49</v>
      </c>
      <c r="AL363" s="62" t="s">
        <v>169</v>
      </c>
      <c r="AM363" s="62" t="s">
        <v>77</v>
      </c>
      <c r="AN363" s="5"/>
      <c r="AO363" s="7"/>
    </row>
    <row r="364" spans="1:41" ht="15.75" customHeight="1" x14ac:dyDescent="0.25">
      <c r="A364" s="4">
        <v>363</v>
      </c>
      <c r="B364" s="5" t="s">
        <v>877</v>
      </c>
      <c r="C364" s="58">
        <v>3.2</v>
      </c>
      <c r="D364" s="61" t="s">
        <v>394</v>
      </c>
      <c r="E364" s="72" t="s">
        <v>878</v>
      </c>
      <c r="F364" s="62" t="s">
        <v>396</v>
      </c>
      <c r="G364" s="8" t="s">
        <v>120</v>
      </c>
      <c r="H364" s="8">
        <v>1958</v>
      </c>
      <c r="I364" s="62" t="s">
        <v>160</v>
      </c>
      <c r="J364" s="62" t="s">
        <v>397</v>
      </c>
      <c r="K364" s="62" t="s">
        <v>71</v>
      </c>
      <c r="L364" s="62" t="s">
        <v>91</v>
      </c>
      <c r="M364" s="62" t="s">
        <v>398</v>
      </c>
      <c r="N364" s="5">
        <v>0</v>
      </c>
      <c r="O364" s="8">
        <v>0</v>
      </c>
      <c r="P364" s="69">
        <v>56000</v>
      </c>
      <c r="Q364" s="69">
        <v>99000</v>
      </c>
      <c r="R364" s="69">
        <v>77500</v>
      </c>
      <c r="S364" s="62" t="s">
        <v>122</v>
      </c>
      <c r="T364" s="8">
        <f t="shared" si="15"/>
        <v>65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62" t="s">
        <v>49</v>
      </c>
      <c r="AL364" s="62" t="s">
        <v>169</v>
      </c>
      <c r="AM364" s="62" t="s">
        <v>108</v>
      </c>
      <c r="AN364" s="5"/>
      <c r="AO364" s="7"/>
    </row>
    <row r="365" spans="1:41" ht="15.75" customHeight="1" x14ac:dyDescent="0.25">
      <c r="A365" s="4">
        <v>364</v>
      </c>
      <c r="B365" s="5" t="s">
        <v>879</v>
      </c>
      <c r="C365" s="58">
        <v>3.3</v>
      </c>
      <c r="D365" s="61" t="s">
        <v>880</v>
      </c>
      <c r="E365" s="72" t="s">
        <v>134</v>
      </c>
      <c r="F365" s="62" t="s">
        <v>134</v>
      </c>
      <c r="G365" s="8">
        <v>500</v>
      </c>
      <c r="H365" s="8">
        <v>1976</v>
      </c>
      <c r="I365" s="62" t="s">
        <v>44</v>
      </c>
      <c r="J365" s="62" t="s">
        <v>881</v>
      </c>
      <c r="K365" s="62" t="s">
        <v>882</v>
      </c>
      <c r="L365" s="62" t="s">
        <v>83</v>
      </c>
      <c r="M365" s="62" t="s">
        <v>47</v>
      </c>
      <c r="N365" s="5">
        <v>1</v>
      </c>
      <c r="O365" s="8">
        <v>1</v>
      </c>
      <c r="P365" s="69">
        <v>52000</v>
      </c>
      <c r="Q365" s="69">
        <v>58000</v>
      </c>
      <c r="R365" s="69">
        <v>55000</v>
      </c>
      <c r="S365" s="62" t="s">
        <v>138</v>
      </c>
      <c r="T365" s="8">
        <f t="shared" si="15"/>
        <v>47</v>
      </c>
      <c r="U365" s="8">
        <v>0</v>
      </c>
      <c r="V365" s="8">
        <v>0</v>
      </c>
      <c r="W365" s="8">
        <v>0</v>
      </c>
      <c r="X365" s="8">
        <v>1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62" t="s">
        <v>107</v>
      </c>
      <c r="AL365" s="62" t="s">
        <v>50</v>
      </c>
      <c r="AM365" s="62" t="s">
        <v>77</v>
      </c>
      <c r="AN365" s="5"/>
      <c r="AO365" s="7"/>
    </row>
    <row r="366" spans="1:41" ht="15.75" customHeight="1" x14ac:dyDescent="0.25">
      <c r="A366" s="4">
        <v>365</v>
      </c>
      <c r="B366" s="5" t="s">
        <v>883</v>
      </c>
      <c r="C366" s="58">
        <v>3.1</v>
      </c>
      <c r="D366" s="61" t="s">
        <v>833</v>
      </c>
      <c r="E366" s="72" t="s">
        <v>871</v>
      </c>
      <c r="F366" s="62" t="s">
        <v>835</v>
      </c>
      <c r="G366" s="8" t="s">
        <v>120</v>
      </c>
      <c r="H366" s="8">
        <v>1875</v>
      </c>
      <c r="I366" s="62" t="s">
        <v>44</v>
      </c>
      <c r="J366" s="62" t="s">
        <v>499</v>
      </c>
      <c r="K366" s="62" t="s">
        <v>427</v>
      </c>
      <c r="L366" s="62" t="s">
        <v>128</v>
      </c>
      <c r="M366" s="62" t="s">
        <v>47</v>
      </c>
      <c r="N366" s="5">
        <v>0</v>
      </c>
      <c r="O366" s="8">
        <v>0</v>
      </c>
      <c r="P366" s="69">
        <v>80000</v>
      </c>
      <c r="Q366" s="69">
        <v>155000</v>
      </c>
      <c r="R366" s="69">
        <v>117500</v>
      </c>
      <c r="S366" s="62" t="s">
        <v>423</v>
      </c>
      <c r="T366" s="8">
        <f t="shared" si="15"/>
        <v>148</v>
      </c>
      <c r="U366" s="8">
        <v>0</v>
      </c>
      <c r="V366" s="8">
        <v>0</v>
      </c>
      <c r="W366" s="8">
        <v>0</v>
      </c>
      <c r="X366" s="8">
        <v>1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62" t="s">
        <v>107</v>
      </c>
      <c r="AL366" s="62" t="s">
        <v>169</v>
      </c>
      <c r="AM366" s="62" t="s">
        <v>51</v>
      </c>
      <c r="AN366" s="5"/>
      <c r="AO366" s="7"/>
    </row>
    <row r="367" spans="1:41" ht="15.75" customHeight="1" x14ac:dyDescent="0.25">
      <c r="A367" s="4">
        <v>366</v>
      </c>
      <c r="B367" s="5" t="s">
        <v>884</v>
      </c>
      <c r="C367" s="58">
        <v>2.4</v>
      </c>
      <c r="D367" s="61" t="s">
        <v>885</v>
      </c>
      <c r="E367" s="72" t="s">
        <v>98</v>
      </c>
      <c r="F367" s="62" t="s">
        <v>335</v>
      </c>
      <c r="G367" s="8" t="s">
        <v>43</v>
      </c>
      <c r="H367" s="8">
        <v>2006</v>
      </c>
      <c r="I367" s="62" t="s">
        <v>44</v>
      </c>
      <c r="J367" s="62" t="s">
        <v>136</v>
      </c>
      <c r="K367" s="62" t="s">
        <v>136</v>
      </c>
      <c r="L367" s="62" t="s">
        <v>46</v>
      </c>
      <c r="M367" s="62" t="s">
        <v>47</v>
      </c>
      <c r="N367" s="5">
        <v>0</v>
      </c>
      <c r="O367" s="8">
        <v>0</v>
      </c>
      <c r="P367" s="69">
        <v>43000</v>
      </c>
      <c r="Q367" s="69">
        <v>98000</v>
      </c>
      <c r="R367" s="69">
        <v>70500</v>
      </c>
      <c r="S367" s="62" t="s">
        <v>102</v>
      </c>
      <c r="T367" s="8">
        <f t="shared" si="15"/>
        <v>17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62" t="s">
        <v>107</v>
      </c>
      <c r="AL367" s="62" t="s">
        <v>50</v>
      </c>
      <c r="AM367" s="62" t="s">
        <v>51</v>
      </c>
      <c r="AN367" s="5"/>
      <c r="AO367" s="7"/>
    </row>
    <row r="368" spans="1:41" ht="15.75" customHeight="1" x14ac:dyDescent="0.25">
      <c r="A368" s="4">
        <v>367</v>
      </c>
      <c r="B368" s="5" t="s">
        <v>886</v>
      </c>
      <c r="C368" s="58">
        <v>4.8</v>
      </c>
      <c r="D368" s="61" t="s">
        <v>887</v>
      </c>
      <c r="E368" s="72" t="s">
        <v>98</v>
      </c>
      <c r="F368" s="62" t="s">
        <v>114</v>
      </c>
      <c r="G368" s="8" t="s">
        <v>81</v>
      </c>
      <c r="H368" s="8">
        <v>2011</v>
      </c>
      <c r="I368" s="62" t="s">
        <v>44</v>
      </c>
      <c r="J368" s="62" t="s">
        <v>216</v>
      </c>
      <c r="K368" s="62" t="s">
        <v>111</v>
      </c>
      <c r="L368" s="62" t="s">
        <v>101</v>
      </c>
      <c r="M368" s="62" t="s">
        <v>47</v>
      </c>
      <c r="N368" s="5">
        <v>0</v>
      </c>
      <c r="O368" s="8">
        <v>0</v>
      </c>
      <c r="P368" s="69">
        <v>45000</v>
      </c>
      <c r="Q368" s="69">
        <v>78000</v>
      </c>
      <c r="R368" s="69">
        <v>61500</v>
      </c>
      <c r="S368" s="62" t="s">
        <v>102</v>
      </c>
      <c r="T368" s="8">
        <f t="shared" si="15"/>
        <v>12</v>
      </c>
      <c r="U368" s="8">
        <v>0</v>
      </c>
      <c r="V368" s="8">
        <v>0</v>
      </c>
      <c r="W368" s="8">
        <v>0</v>
      </c>
      <c r="X368" s="8">
        <v>1</v>
      </c>
      <c r="Y368" s="8">
        <v>1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1</v>
      </c>
      <c r="AG368" s="8">
        <v>0</v>
      </c>
      <c r="AH368" s="8">
        <v>0</v>
      </c>
      <c r="AI368" s="8">
        <v>0</v>
      </c>
      <c r="AJ368" s="8">
        <v>0</v>
      </c>
      <c r="AK368" s="62" t="s">
        <v>486</v>
      </c>
      <c r="AL368" s="62" t="s">
        <v>50</v>
      </c>
      <c r="AM368" s="62" t="s">
        <v>77</v>
      </c>
      <c r="AN368" s="5"/>
      <c r="AO368" s="7"/>
    </row>
    <row r="369" spans="1:41" ht="15.75" customHeight="1" x14ac:dyDescent="0.25">
      <c r="A369" s="4">
        <v>368</v>
      </c>
      <c r="B369" s="5" t="s">
        <v>888</v>
      </c>
      <c r="C369" s="58">
        <v>2.9</v>
      </c>
      <c r="D369" s="61" t="s">
        <v>889</v>
      </c>
      <c r="E369" s="72" t="s">
        <v>890</v>
      </c>
      <c r="F369" s="62" t="s">
        <v>891</v>
      </c>
      <c r="G369" s="8" t="s">
        <v>70</v>
      </c>
      <c r="H369" s="8">
        <v>2015</v>
      </c>
      <c r="I369" s="62" t="s">
        <v>44</v>
      </c>
      <c r="J369" s="62" t="s">
        <v>136</v>
      </c>
      <c r="K369" s="62" t="s">
        <v>136</v>
      </c>
      <c r="L369" s="62" t="s">
        <v>83</v>
      </c>
      <c r="M369" s="62" t="s">
        <v>47</v>
      </c>
      <c r="N369" s="5">
        <v>0</v>
      </c>
      <c r="O369" s="8">
        <v>0</v>
      </c>
      <c r="P369" s="69">
        <v>44000</v>
      </c>
      <c r="Q369" s="69">
        <v>96000</v>
      </c>
      <c r="R369" s="69">
        <v>70000</v>
      </c>
      <c r="S369" s="62" t="s">
        <v>85</v>
      </c>
      <c r="T369" s="8">
        <f t="shared" si="15"/>
        <v>8</v>
      </c>
      <c r="U369" s="8">
        <v>0</v>
      </c>
      <c r="V369" s="8">
        <v>0</v>
      </c>
      <c r="W369" s="8">
        <v>0</v>
      </c>
      <c r="X369" s="8">
        <v>1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62" t="s">
        <v>107</v>
      </c>
      <c r="AL369" s="62" t="s">
        <v>50</v>
      </c>
      <c r="AM369" s="62" t="s">
        <v>77</v>
      </c>
      <c r="AN369" s="5"/>
      <c r="AO369" s="7"/>
    </row>
    <row r="370" spans="1:41" ht="15.75" customHeight="1" x14ac:dyDescent="0.25">
      <c r="A370" s="4">
        <v>369</v>
      </c>
      <c r="B370" s="5" t="s">
        <v>892</v>
      </c>
      <c r="C370" s="58">
        <v>2.9</v>
      </c>
      <c r="D370" s="61" t="s">
        <v>889</v>
      </c>
      <c r="E370" s="72" t="s">
        <v>893</v>
      </c>
      <c r="F370" s="62" t="s">
        <v>891</v>
      </c>
      <c r="G370" s="8" t="s">
        <v>70</v>
      </c>
      <c r="H370" s="8">
        <v>2015</v>
      </c>
      <c r="I370" s="62" t="s">
        <v>44</v>
      </c>
      <c r="J370" s="62" t="s">
        <v>136</v>
      </c>
      <c r="K370" s="62" t="s">
        <v>136</v>
      </c>
      <c r="L370" s="62" t="s">
        <v>83</v>
      </c>
      <c r="M370" s="62" t="s">
        <v>47</v>
      </c>
      <c r="N370" s="5">
        <v>0</v>
      </c>
      <c r="O370" s="8">
        <v>0</v>
      </c>
      <c r="P370" s="69">
        <v>50000</v>
      </c>
      <c r="Q370" s="69">
        <v>110000</v>
      </c>
      <c r="R370" s="69">
        <v>80000</v>
      </c>
      <c r="S370" s="62" t="s">
        <v>310</v>
      </c>
      <c r="T370" s="8">
        <f t="shared" si="15"/>
        <v>8</v>
      </c>
      <c r="U370" s="8">
        <v>0</v>
      </c>
      <c r="V370" s="8">
        <v>0</v>
      </c>
      <c r="W370" s="8">
        <v>0</v>
      </c>
      <c r="X370" s="8">
        <v>1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62" t="s">
        <v>107</v>
      </c>
      <c r="AL370" s="62" t="s">
        <v>169</v>
      </c>
      <c r="AM370" s="62" t="s">
        <v>77</v>
      </c>
      <c r="AN370" s="5"/>
      <c r="AO370" s="7"/>
    </row>
    <row r="371" spans="1:41" ht="15.75" customHeight="1" x14ac:dyDescent="0.25">
      <c r="A371" s="4">
        <v>370</v>
      </c>
      <c r="B371" s="5" t="s">
        <v>894</v>
      </c>
      <c r="C371" s="58">
        <v>3.4</v>
      </c>
      <c r="D371" s="61" t="s">
        <v>895</v>
      </c>
      <c r="E371" s="72" t="s">
        <v>896</v>
      </c>
      <c r="F371" s="62" t="s">
        <v>896</v>
      </c>
      <c r="G371" s="8" t="s">
        <v>70</v>
      </c>
      <c r="H371" s="8">
        <v>1988</v>
      </c>
      <c r="I371" s="62" t="s">
        <v>44</v>
      </c>
      <c r="J371" s="62" t="s">
        <v>161</v>
      </c>
      <c r="K371" s="62" t="s">
        <v>162</v>
      </c>
      <c r="L371" s="62" t="s">
        <v>66</v>
      </c>
      <c r="M371" s="62" t="s">
        <v>47</v>
      </c>
      <c r="N371" s="5">
        <v>0</v>
      </c>
      <c r="O371" s="8">
        <v>0</v>
      </c>
      <c r="P371" s="69">
        <v>61000</v>
      </c>
      <c r="Q371" s="69">
        <v>119000</v>
      </c>
      <c r="R371" s="69">
        <v>90000</v>
      </c>
      <c r="S371" s="62" t="s">
        <v>138</v>
      </c>
      <c r="T371" s="8">
        <f t="shared" si="15"/>
        <v>35</v>
      </c>
      <c r="U371" s="8">
        <v>0</v>
      </c>
      <c r="V371" s="8">
        <v>1</v>
      </c>
      <c r="W371" s="8">
        <v>0</v>
      </c>
      <c r="X371" s="8">
        <v>1</v>
      </c>
      <c r="Y371" s="8">
        <v>1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1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62" t="s">
        <v>146</v>
      </c>
      <c r="AL371" s="62" t="s">
        <v>50</v>
      </c>
      <c r="AM371" s="62" t="s">
        <v>77</v>
      </c>
      <c r="AN371" s="5"/>
      <c r="AO371" s="7"/>
    </row>
    <row r="372" spans="1:41" ht="15.75" customHeight="1" x14ac:dyDescent="0.25">
      <c r="A372" s="4">
        <v>371</v>
      </c>
      <c r="B372" s="5" t="s">
        <v>897</v>
      </c>
      <c r="C372" s="58">
        <v>0</v>
      </c>
      <c r="D372" s="61" t="s">
        <v>898</v>
      </c>
      <c r="E372" s="72" t="s">
        <v>134</v>
      </c>
      <c r="F372" s="62" t="s">
        <v>899</v>
      </c>
      <c r="G372" s="8">
        <v>500</v>
      </c>
      <c r="H372" s="8" t="s">
        <v>47</v>
      </c>
      <c r="I372" s="62" t="s">
        <v>44</v>
      </c>
      <c r="J372" s="62" t="s">
        <v>47</v>
      </c>
      <c r="K372" s="62" t="s">
        <v>47</v>
      </c>
      <c r="L372" s="62" t="s">
        <v>83</v>
      </c>
      <c r="M372" s="62" t="s">
        <v>47</v>
      </c>
      <c r="N372" s="5">
        <v>0</v>
      </c>
      <c r="O372" s="8">
        <v>1</v>
      </c>
      <c r="P372" s="69">
        <v>100000</v>
      </c>
      <c r="Q372" s="69">
        <v>140000</v>
      </c>
      <c r="R372" s="69">
        <v>120000</v>
      </c>
      <c r="S372" s="62" t="s">
        <v>138</v>
      </c>
      <c r="T372" s="8" t="s">
        <v>47</v>
      </c>
      <c r="U372" s="8">
        <v>0</v>
      </c>
      <c r="V372" s="8">
        <v>0</v>
      </c>
      <c r="W372" s="8">
        <v>0</v>
      </c>
      <c r="X372" s="8">
        <v>1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62" t="s">
        <v>107</v>
      </c>
      <c r="AL372" s="62" t="s">
        <v>50</v>
      </c>
      <c r="AM372" s="62" t="s">
        <v>108</v>
      </c>
      <c r="AN372" s="5"/>
      <c r="AO372" s="7"/>
    </row>
    <row r="373" spans="1:41" ht="15.75" customHeight="1" x14ac:dyDescent="0.25">
      <c r="A373" s="4">
        <v>372</v>
      </c>
      <c r="B373" s="5" t="s">
        <v>900</v>
      </c>
      <c r="C373" s="58">
        <v>2.6</v>
      </c>
      <c r="D373" s="61" t="s">
        <v>530</v>
      </c>
      <c r="E373" s="72" t="s">
        <v>342</v>
      </c>
      <c r="F373" s="62" t="s">
        <v>342</v>
      </c>
      <c r="G373" s="8" t="s">
        <v>43</v>
      </c>
      <c r="H373" s="8">
        <v>1984</v>
      </c>
      <c r="I373" s="62" t="s">
        <v>531</v>
      </c>
      <c r="J373" s="62" t="s">
        <v>532</v>
      </c>
      <c r="K373" s="62" t="s">
        <v>415</v>
      </c>
      <c r="L373" s="62" t="s">
        <v>83</v>
      </c>
      <c r="M373" s="62" t="s">
        <v>47</v>
      </c>
      <c r="N373" s="5">
        <v>0</v>
      </c>
      <c r="O373" s="8">
        <v>0</v>
      </c>
      <c r="P373" s="69">
        <v>56000</v>
      </c>
      <c r="Q373" s="69">
        <v>91000</v>
      </c>
      <c r="R373" s="69">
        <v>73500</v>
      </c>
      <c r="S373" s="62" t="s">
        <v>305</v>
      </c>
      <c r="T373" s="8">
        <f t="shared" ref="T373:T374" si="16">2023-H373</f>
        <v>39</v>
      </c>
      <c r="U373" s="8">
        <v>0</v>
      </c>
      <c r="V373" s="8">
        <v>0</v>
      </c>
      <c r="W373" s="8">
        <v>0</v>
      </c>
      <c r="X373" s="8">
        <v>1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62" t="s">
        <v>107</v>
      </c>
      <c r="AL373" s="62" t="s">
        <v>50</v>
      </c>
      <c r="AM373" s="62" t="s">
        <v>108</v>
      </c>
      <c r="AN373" s="5"/>
      <c r="AO373" s="7"/>
    </row>
    <row r="374" spans="1:41" ht="15.75" customHeight="1" x14ac:dyDescent="0.25">
      <c r="A374" s="4">
        <v>373</v>
      </c>
      <c r="B374" s="5" t="s">
        <v>39</v>
      </c>
      <c r="C374" s="58">
        <v>3.8</v>
      </c>
      <c r="D374" s="61" t="s">
        <v>264</v>
      </c>
      <c r="E374" s="72" t="s">
        <v>265</v>
      </c>
      <c r="F374" s="62" t="s">
        <v>266</v>
      </c>
      <c r="G374" s="8" t="s">
        <v>43</v>
      </c>
      <c r="H374" s="8">
        <v>1984</v>
      </c>
      <c r="I374" s="62" t="s">
        <v>142</v>
      </c>
      <c r="J374" s="62" t="s">
        <v>82</v>
      </c>
      <c r="K374" s="62" t="s">
        <v>65</v>
      </c>
      <c r="L374" s="62" t="s">
        <v>83</v>
      </c>
      <c r="M374" s="62" t="s">
        <v>47</v>
      </c>
      <c r="N374" s="5">
        <v>0</v>
      </c>
      <c r="O374" s="8">
        <v>0</v>
      </c>
      <c r="P374" s="69">
        <v>68000</v>
      </c>
      <c r="Q374" s="69">
        <v>114000</v>
      </c>
      <c r="R374" s="69">
        <v>91000</v>
      </c>
      <c r="S374" s="62" t="s">
        <v>67</v>
      </c>
      <c r="T374" s="8">
        <f t="shared" si="16"/>
        <v>39</v>
      </c>
      <c r="U374" s="8">
        <v>1</v>
      </c>
      <c r="V374" s="8">
        <v>0</v>
      </c>
      <c r="W374" s="8">
        <v>0</v>
      </c>
      <c r="X374" s="8">
        <v>1</v>
      </c>
      <c r="Y374" s="8">
        <v>1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1</v>
      </c>
      <c r="AF374" s="8">
        <v>1</v>
      </c>
      <c r="AG374" s="8">
        <v>0</v>
      </c>
      <c r="AH374" s="8">
        <v>0</v>
      </c>
      <c r="AI374" s="8">
        <v>0</v>
      </c>
      <c r="AJ374" s="8">
        <v>0</v>
      </c>
      <c r="AK374" s="62" t="s">
        <v>49</v>
      </c>
      <c r="AL374" s="62" t="s">
        <v>50</v>
      </c>
      <c r="AM374" s="62" t="s">
        <v>77</v>
      </c>
      <c r="AN374" s="5"/>
      <c r="AO374" s="7"/>
    </row>
    <row r="375" spans="1:41" ht="15.75" customHeight="1" x14ac:dyDescent="0.25">
      <c r="A375" s="4">
        <v>374</v>
      </c>
      <c r="B375" s="5" t="s">
        <v>39</v>
      </c>
      <c r="C375" s="58">
        <v>5</v>
      </c>
      <c r="D375" s="61" t="s">
        <v>242</v>
      </c>
      <c r="E375" s="72" t="s">
        <v>243</v>
      </c>
      <c r="F375" s="62" t="s">
        <v>244</v>
      </c>
      <c r="G375" s="8">
        <v>500</v>
      </c>
      <c r="H375" s="8" t="s">
        <v>47</v>
      </c>
      <c r="I375" s="62" t="s">
        <v>44</v>
      </c>
      <c r="J375" s="62" t="s">
        <v>155</v>
      </c>
      <c r="K375" s="62" t="s">
        <v>111</v>
      </c>
      <c r="L375" s="62" t="s">
        <v>83</v>
      </c>
      <c r="M375" s="62" t="s">
        <v>47</v>
      </c>
      <c r="N375" s="5">
        <v>0</v>
      </c>
      <c r="O375" s="8">
        <v>1</v>
      </c>
      <c r="P375" s="69">
        <v>150000</v>
      </c>
      <c r="Q375" s="69">
        <v>160000</v>
      </c>
      <c r="R375" s="69">
        <v>155000</v>
      </c>
      <c r="S375" s="62" t="s">
        <v>245</v>
      </c>
      <c r="T375" s="8" t="s">
        <v>47</v>
      </c>
      <c r="U375" s="8">
        <v>0</v>
      </c>
      <c r="V375" s="8">
        <v>0</v>
      </c>
      <c r="W375" s="8">
        <v>1</v>
      </c>
      <c r="X375" s="8">
        <v>1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62" t="s">
        <v>49</v>
      </c>
      <c r="AL375" s="62" t="s">
        <v>50</v>
      </c>
      <c r="AM375" s="62" t="s">
        <v>77</v>
      </c>
      <c r="AN375" s="5"/>
      <c r="AO375" s="7"/>
    </row>
    <row r="376" spans="1:41" ht="15.75" customHeight="1" x14ac:dyDescent="0.25">
      <c r="A376" s="4">
        <v>375</v>
      </c>
      <c r="B376" s="5" t="s">
        <v>901</v>
      </c>
      <c r="C376" s="58">
        <v>3.6</v>
      </c>
      <c r="D376" s="61" t="s">
        <v>550</v>
      </c>
      <c r="E376" s="72" t="s">
        <v>269</v>
      </c>
      <c r="F376" s="62" t="s">
        <v>551</v>
      </c>
      <c r="G376" s="8" t="s">
        <v>120</v>
      </c>
      <c r="H376" s="8">
        <v>1851</v>
      </c>
      <c r="I376" s="62" t="s">
        <v>44</v>
      </c>
      <c r="J376" s="62" t="s">
        <v>161</v>
      </c>
      <c r="K376" s="62" t="s">
        <v>162</v>
      </c>
      <c r="L376" s="62" t="s">
        <v>128</v>
      </c>
      <c r="M376" s="62" t="s">
        <v>47</v>
      </c>
      <c r="N376" s="5">
        <v>0</v>
      </c>
      <c r="O376" s="8">
        <v>0</v>
      </c>
      <c r="P376" s="69">
        <v>101000</v>
      </c>
      <c r="Q376" s="69">
        <v>158000</v>
      </c>
      <c r="R376" s="69">
        <v>129500</v>
      </c>
      <c r="S376" s="62" t="s">
        <v>138</v>
      </c>
      <c r="T376" s="8">
        <f t="shared" ref="T376:T401" si="17">2023-H376</f>
        <v>172</v>
      </c>
      <c r="U376" s="8">
        <v>1</v>
      </c>
      <c r="V376" s="8">
        <v>1</v>
      </c>
      <c r="W376" s="8">
        <v>1</v>
      </c>
      <c r="X376" s="8">
        <v>1</v>
      </c>
      <c r="Y376" s="8">
        <v>1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1</v>
      </c>
      <c r="AF376" s="8">
        <v>1</v>
      </c>
      <c r="AG376" s="8">
        <v>1</v>
      </c>
      <c r="AH376" s="8">
        <v>0</v>
      </c>
      <c r="AI376" s="8">
        <v>0</v>
      </c>
      <c r="AJ376" s="8">
        <v>0</v>
      </c>
      <c r="AK376" s="62" t="s">
        <v>107</v>
      </c>
      <c r="AL376" s="62" t="s">
        <v>50</v>
      </c>
      <c r="AM376" s="62" t="s">
        <v>77</v>
      </c>
      <c r="AN376" s="5"/>
      <c r="AO376" s="7"/>
    </row>
    <row r="377" spans="1:41" ht="15.75" customHeight="1" x14ac:dyDescent="0.25">
      <c r="A377" s="4">
        <v>376</v>
      </c>
      <c r="B377" s="5" t="s">
        <v>902</v>
      </c>
      <c r="C377" s="58">
        <v>4</v>
      </c>
      <c r="D377" s="61" t="s">
        <v>186</v>
      </c>
      <c r="E377" s="72" t="s">
        <v>79</v>
      </c>
      <c r="F377" s="62" t="s">
        <v>80</v>
      </c>
      <c r="G377" s="8" t="s">
        <v>56</v>
      </c>
      <c r="H377" s="8">
        <v>1849</v>
      </c>
      <c r="I377" s="62" t="s">
        <v>89</v>
      </c>
      <c r="J377" s="62" t="s">
        <v>136</v>
      </c>
      <c r="K377" s="62" t="s">
        <v>136</v>
      </c>
      <c r="L377" s="62" t="s">
        <v>128</v>
      </c>
      <c r="M377" s="62" t="s">
        <v>47</v>
      </c>
      <c r="N377" s="5">
        <v>0</v>
      </c>
      <c r="O377" s="8">
        <v>0</v>
      </c>
      <c r="P377" s="69">
        <v>125000</v>
      </c>
      <c r="Q377" s="69">
        <v>210000</v>
      </c>
      <c r="R377" s="69">
        <v>167500</v>
      </c>
      <c r="S377" s="62" t="s">
        <v>85</v>
      </c>
      <c r="T377" s="8">
        <f t="shared" si="17"/>
        <v>174</v>
      </c>
      <c r="U377" s="8">
        <v>0</v>
      </c>
      <c r="V377" s="8">
        <v>0</v>
      </c>
      <c r="W377" s="8">
        <v>1</v>
      </c>
      <c r="X377" s="8">
        <v>1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62" t="s">
        <v>49</v>
      </c>
      <c r="AL377" s="62" t="s">
        <v>169</v>
      </c>
      <c r="AM377" s="62" t="s">
        <v>51</v>
      </c>
      <c r="AN377" s="5"/>
      <c r="AO377" s="7"/>
    </row>
    <row r="378" spans="1:41" ht="15.75" customHeight="1" x14ac:dyDescent="0.25">
      <c r="A378" s="4">
        <v>377</v>
      </c>
      <c r="B378" s="5" t="s">
        <v>903</v>
      </c>
      <c r="C378" s="58">
        <v>3.8</v>
      </c>
      <c r="D378" s="61" t="s">
        <v>904</v>
      </c>
      <c r="E378" s="72" t="s">
        <v>905</v>
      </c>
      <c r="F378" s="62" t="s">
        <v>906</v>
      </c>
      <c r="G378" s="8" t="s">
        <v>70</v>
      </c>
      <c r="H378" s="8">
        <v>1870</v>
      </c>
      <c r="I378" s="62" t="s">
        <v>89</v>
      </c>
      <c r="J378" s="62" t="s">
        <v>95</v>
      </c>
      <c r="K378" s="62" t="s">
        <v>96</v>
      </c>
      <c r="L378" s="62" t="s">
        <v>91</v>
      </c>
      <c r="M378" s="62" t="s">
        <v>907</v>
      </c>
      <c r="N378" s="5">
        <v>0</v>
      </c>
      <c r="O378" s="8">
        <v>0</v>
      </c>
      <c r="P378" s="69">
        <v>43000</v>
      </c>
      <c r="Q378" s="69">
        <v>77000</v>
      </c>
      <c r="R378" s="69">
        <v>60000</v>
      </c>
      <c r="S378" s="62" t="s">
        <v>403</v>
      </c>
      <c r="T378" s="8">
        <f t="shared" si="17"/>
        <v>153</v>
      </c>
      <c r="U378" s="8">
        <v>0</v>
      </c>
      <c r="V378" s="8">
        <v>0</v>
      </c>
      <c r="W378" s="8">
        <v>1</v>
      </c>
      <c r="X378" s="8">
        <v>1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62" t="s">
        <v>132</v>
      </c>
      <c r="AL378" s="62" t="s">
        <v>50</v>
      </c>
      <c r="AM378" s="62" t="s">
        <v>77</v>
      </c>
      <c r="AN378" s="5"/>
      <c r="AO378" s="7"/>
    </row>
    <row r="379" spans="1:41" ht="15.75" customHeight="1" x14ac:dyDescent="0.25">
      <c r="A379" s="4">
        <v>378</v>
      </c>
      <c r="B379" s="5" t="s">
        <v>246</v>
      </c>
      <c r="C379" s="58">
        <v>3.9</v>
      </c>
      <c r="D379" s="61" t="s">
        <v>615</v>
      </c>
      <c r="E379" s="72" t="s">
        <v>616</v>
      </c>
      <c r="F379" s="62" t="s">
        <v>616</v>
      </c>
      <c r="G379" s="8" t="s">
        <v>81</v>
      </c>
      <c r="H379" s="8">
        <v>2009</v>
      </c>
      <c r="I379" s="62" t="s">
        <v>44</v>
      </c>
      <c r="J379" s="62" t="s">
        <v>381</v>
      </c>
      <c r="K379" s="62" t="s">
        <v>96</v>
      </c>
      <c r="L379" s="62" t="s">
        <v>46</v>
      </c>
      <c r="M379" s="62" t="s">
        <v>47</v>
      </c>
      <c r="N379" s="5">
        <v>0</v>
      </c>
      <c r="O379" s="8">
        <v>0</v>
      </c>
      <c r="P379" s="69">
        <v>139000</v>
      </c>
      <c r="Q379" s="69">
        <v>221000</v>
      </c>
      <c r="R379" s="69">
        <v>180000</v>
      </c>
      <c r="S379" s="62" t="s">
        <v>102</v>
      </c>
      <c r="T379" s="8">
        <f t="shared" si="17"/>
        <v>14</v>
      </c>
      <c r="U379" s="8">
        <v>1</v>
      </c>
      <c r="V379" s="8">
        <v>0</v>
      </c>
      <c r="W379" s="8">
        <v>0</v>
      </c>
      <c r="X379" s="8">
        <v>1</v>
      </c>
      <c r="Y379" s="8">
        <v>1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62" t="s">
        <v>49</v>
      </c>
      <c r="AL379" s="62" t="s">
        <v>169</v>
      </c>
      <c r="AM379" s="62" t="s">
        <v>51</v>
      </c>
      <c r="AN379" s="5"/>
      <c r="AO379" s="7"/>
    </row>
    <row r="380" spans="1:41" ht="15.75" customHeight="1" x14ac:dyDescent="0.25">
      <c r="A380" s="4">
        <v>379</v>
      </c>
      <c r="B380" s="5" t="s">
        <v>908</v>
      </c>
      <c r="C380" s="58">
        <v>3.8</v>
      </c>
      <c r="D380" s="61" t="s">
        <v>685</v>
      </c>
      <c r="E380" s="72" t="s">
        <v>79</v>
      </c>
      <c r="F380" s="62" t="s">
        <v>80</v>
      </c>
      <c r="G380" s="8" t="s">
        <v>70</v>
      </c>
      <c r="H380" s="8">
        <v>2002</v>
      </c>
      <c r="I380" s="62" t="s">
        <v>44</v>
      </c>
      <c r="J380" s="62" t="s">
        <v>517</v>
      </c>
      <c r="K380" s="62" t="s">
        <v>518</v>
      </c>
      <c r="L380" s="62" t="s">
        <v>60</v>
      </c>
      <c r="M380" s="62" t="s">
        <v>686</v>
      </c>
      <c r="N380" s="5">
        <v>0</v>
      </c>
      <c r="O380" s="8">
        <v>0</v>
      </c>
      <c r="P380" s="69">
        <v>44000</v>
      </c>
      <c r="Q380" s="69">
        <v>86000</v>
      </c>
      <c r="R380" s="69">
        <v>65000</v>
      </c>
      <c r="S380" s="62" t="s">
        <v>85</v>
      </c>
      <c r="T380" s="8">
        <f t="shared" si="17"/>
        <v>21</v>
      </c>
      <c r="U380" s="8">
        <v>0</v>
      </c>
      <c r="V380" s="8">
        <v>0</v>
      </c>
      <c r="W380" s="8">
        <v>0</v>
      </c>
      <c r="X380" s="8">
        <v>1</v>
      </c>
      <c r="Y380" s="8">
        <v>1</v>
      </c>
      <c r="Z380" s="8">
        <v>1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62" t="s">
        <v>132</v>
      </c>
      <c r="AL380" s="62" t="s">
        <v>50</v>
      </c>
      <c r="AM380" s="62" t="s">
        <v>77</v>
      </c>
      <c r="AN380" s="5"/>
      <c r="AO380" s="7"/>
    </row>
    <row r="381" spans="1:41" ht="15.75" customHeight="1" x14ac:dyDescent="0.25">
      <c r="A381" s="4">
        <v>380</v>
      </c>
      <c r="B381" s="5" t="s">
        <v>464</v>
      </c>
      <c r="C381" s="58">
        <v>4.3</v>
      </c>
      <c r="D381" s="61" t="s">
        <v>909</v>
      </c>
      <c r="E381" s="72" t="s">
        <v>910</v>
      </c>
      <c r="F381" s="62" t="s">
        <v>911</v>
      </c>
      <c r="G381" s="8" t="s">
        <v>120</v>
      </c>
      <c r="H381" s="8">
        <v>1990</v>
      </c>
      <c r="I381" s="62" t="s">
        <v>44</v>
      </c>
      <c r="J381" s="62" t="s">
        <v>216</v>
      </c>
      <c r="K381" s="62" t="s">
        <v>111</v>
      </c>
      <c r="L381" s="62" t="s">
        <v>91</v>
      </c>
      <c r="M381" s="62" t="s">
        <v>912</v>
      </c>
      <c r="N381" s="5">
        <v>0</v>
      </c>
      <c r="O381" s="8">
        <v>0</v>
      </c>
      <c r="P381" s="69">
        <v>78000</v>
      </c>
      <c r="Q381" s="69">
        <v>147000</v>
      </c>
      <c r="R381" s="69">
        <v>112500</v>
      </c>
      <c r="S381" s="62" t="s">
        <v>423</v>
      </c>
      <c r="T381" s="8">
        <f t="shared" si="17"/>
        <v>33</v>
      </c>
      <c r="U381" s="8">
        <v>1</v>
      </c>
      <c r="V381" s="8">
        <v>1</v>
      </c>
      <c r="W381" s="8">
        <v>1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1</v>
      </c>
      <c r="AF381" s="8">
        <v>0</v>
      </c>
      <c r="AG381" s="8">
        <v>0</v>
      </c>
      <c r="AH381" s="8">
        <v>1</v>
      </c>
      <c r="AI381" s="8">
        <v>0</v>
      </c>
      <c r="AJ381" s="8">
        <v>0</v>
      </c>
      <c r="AK381" s="62" t="s">
        <v>146</v>
      </c>
      <c r="AL381" s="62" t="s">
        <v>169</v>
      </c>
      <c r="AM381" s="62" t="s">
        <v>77</v>
      </c>
      <c r="AN381" s="5"/>
      <c r="AO381" s="7"/>
    </row>
    <row r="382" spans="1:41" ht="15.75" customHeight="1" x14ac:dyDescent="0.25">
      <c r="A382" s="4">
        <v>381</v>
      </c>
      <c r="B382" s="5" t="s">
        <v>433</v>
      </c>
      <c r="C382" s="58">
        <v>1.9</v>
      </c>
      <c r="D382" s="61" t="s">
        <v>913</v>
      </c>
      <c r="E382" s="72" t="s">
        <v>79</v>
      </c>
      <c r="F382" s="62" t="s">
        <v>80</v>
      </c>
      <c r="G382" s="8" t="s">
        <v>88</v>
      </c>
      <c r="H382" s="8">
        <v>2010</v>
      </c>
      <c r="I382" s="62" t="s">
        <v>44</v>
      </c>
      <c r="J382" s="62" t="s">
        <v>127</v>
      </c>
      <c r="K382" s="62" t="s">
        <v>116</v>
      </c>
      <c r="L382" s="62" t="s">
        <v>66</v>
      </c>
      <c r="M382" s="62" t="s">
        <v>914</v>
      </c>
      <c r="N382" s="5">
        <v>0</v>
      </c>
      <c r="O382" s="8">
        <v>0</v>
      </c>
      <c r="P382" s="69">
        <v>65000</v>
      </c>
      <c r="Q382" s="69">
        <v>110000</v>
      </c>
      <c r="R382" s="69">
        <v>87500</v>
      </c>
      <c r="S382" s="62" t="s">
        <v>85</v>
      </c>
      <c r="T382" s="8">
        <f t="shared" si="17"/>
        <v>13</v>
      </c>
      <c r="U382" s="8">
        <v>1</v>
      </c>
      <c r="V382" s="8">
        <v>0</v>
      </c>
      <c r="W382" s="8">
        <v>0</v>
      </c>
      <c r="X382" s="8">
        <v>1</v>
      </c>
      <c r="Y382" s="8">
        <v>1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1</v>
      </c>
      <c r="AK382" s="62" t="s">
        <v>132</v>
      </c>
      <c r="AL382" s="62" t="s">
        <v>169</v>
      </c>
      <c r="AM382" s="62" t="s">
        <v>77</v>
      </c>
      <c r="AN382" s="5"/>
      <c r="AO382" s="7"/>
    </row>
    <row r="383" spans="1:41" ht="15.75" customHeight="1" x14ac:dyDescent="0.25">
      <c r="A383" s="4">
        <v>382</v>
      </c>
      <c r="B383" s="5" t="s">
        <v>915</v>
      </c>
      <c r="C383" s="58">
        <v>3.3</v>
      </c>
      <c r="D383" s="61" t="s">
        <v>268</v>
      </c>
      <c r="E383" s="72" t="s">
        <v>324</v>
      </c>
      <c r="F383" s="62" t="s">
        <v>269</v>
      </c>
      <c r="G383" s="8" t="s">
        <v>56</v>
      </c>
      <c r="H383" s="8">
        <v>1912</v>
      </c>
      <c r="I383" s="62" t="s">
        <v>44</v>
      </c>
      <c r="J383" s="62" t="s">
        <v>161</v>
      </c>
      <c r="K383" s="62" t="s">
        <v>162</v>
      </c>
      <c r="L383" s="62" t="s">
        <v>128</v>
      </c>
      <c r="M383" s="62" t="s">
        <v>270</v>
      </c>
      <c r="N383" s="5">
        <v>0</v>
      </c>
      <c r="O383" s="8">
        <v>0</v>
      </c>
      <c r="P383" s="69">
        <v>37000</v>
      </c>
      <c r="Q383" s="69">
        <v>66000</v>
      </c>
      <c r="R383" s="69">
        <v>51500</v>
      </c>
      <c r="S383" s="62" t="s">
        <v>326</v>
      </c>
      <c r="T383" s="8">
        <f t="shared" si="17"/>
        <v>111</v>
      </c>
      <c r="U383" s="8">
        <v>1</v>
      </c>
      <c r="V383" s="8">
        <v>0</v>
      </c>
      <c r="W383" s="8">
        <v>0</v>
      </c>
      <c r="X383" s="8">
        <v>1</v>
      </c>
      <c r="Y383" s="8">
        <v>1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1</v>
      </c>
      <c r="AH383" s="8">
        <v>0</v>
      </c>
      <c r="AI383" s="8">
        <v>0</v>
      </c>
      <c r="AJ383" s="8">
        <v>0</v>
      </c>
      <c r="AK383" s="62" t="s">
        <v>386</v>
      </c>
      <c r="AL383" s="62" t="s">
        <v>50</v>
      </c>
      <c r="AM383" s="62" t="s">
        <v>51</v>
      </c>
      <c r="AN383" s="5"/>
      <c r="AO383" s="7"/>
    </row>
    <row r="384" spans="1:41" ht="15.75" customHeight="1" x14ac:dyDescent="0.25">
      <c r="A384" s="4">
        <v>383</v>
      </c>
      <c r="B384" s="5" t="s">
        <v>916</v>
      </c>
      <c r="C384" s="58">
        <v>4.7</v>
      </c>
      <c r="D384" s="61" t="s">
        <v>917</v>
      </c>
      <c r="E384" s="72" t="s">
        <v>918</v>
      </c>
      <c r="F384" s="62" t="s">
        <v>919</v>
      </c>
      <c r="G384" s="8" t="s">
        <v>81</v>
      </c>
      <c r="H384" s="8">
        <v>1972</v>
      </c>
      <c r="I384" s="62" t="s">
        <v>44</v>
      </c>
      <c r="J384" s="62" t="s">
        <v>477</v>
      </c>
      <c r="K384" s="62" t="s">
        <v>65</v>
      </c>
      <c r="L384" s="62" t="s">
        <v>180</v>
      </c>
      <c r="M384" s="62" t="s">
        <v>47</v>
      </c>
      <c r="N384" s="5">
        <v>0</v>
      </c>
      <c r="O384" s="8">
        <v>0</v>
      </c>
      <c r="P384" s="69">
        <v>38000</v>
      </c>
      <c r="Q384" s="69">
        <v>64000</v>
      </c>
      <c r="R384" s="69">
        <v>51000</v>
      </c>
      <c r="S384" s="62" t="s">
        <v>102</v>
      </c>
      <c r="T384" s="8">
        <f t="shared" si="17"/>
        <v>51</v>
      </c>
      <c r="U384" s="8">
        <v>0</v>
      </c>
      <c r="V384" s="8">
        <v>0</v>
      </c>
      <c r="W384" s="8">
        <v>0</v>
      </c>
      <c r="X384" s="8">
        <v>1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62" t="s">
        <v>107</v>
      </c>
      <c r="AL384" s="62" t="s">
        <v>50</v>
      </c>
      <c r="AM384" s="62" t="s">
        <v>77</v>
      </c>
      <c r="AN384" s="5"/>
      <c r="AO384" s="7"/>
    </row>
    <row r="385" spans="1:41" ht="15.75" customHeight="1" x14ac:dyDescent="0.25">
      <c r="A385" s="4">
        <v>384</v>
      </c>
      <c r="B385" s="5" t="s">
        <v>920</v>
      </c>
      <c r="C385" s="58">
        <v>3.1</v>
      </c>
      <c r="D385" s="61" t="s">
        <v>921</v>
      </c>
      <c r="E385" s="72" t="s">
        <v>269</v>
      </c>
      <c r="F385" s="62" t="s">
        <v>922</v>
      </c>
      <c r="G385" s="8" t="s">
        <v>56</v>
      </c>
      <c r="H385" s="8">
        <v>1856</v>
      </c>
      <c r="I385" s="62" t="s">
        <v>44</v>
      </c>
      <c r="J385" s="62" t="s">
        <v>95</v>
      </c>
      <c r="K385" s="62" t="s">
        <v>96</v>
      </c>
      <c r="L385" s="62" t="s">
        <v>128</v>
      </c>
      <c r="M385" s="62" t="s">
        <v>47</v>
      </c>
      <c r="N385" s="5">
        <v>0</v>
      </c>
      <c r="O385" s="8">
        <v>0</v>
      </c>
      <c r="P385" s="69">
        <v>43000</v>
      </c>
      <c r="Q385" s="69">
        <v>82000</v>
      </c>
      <c r="R385" s="69">
        <v>62500</v>
      </c>
      <c r="S385" s="62" t="s">
        <v>138</v>
      </c>
      <c r="T385" s="8">
        <f t="shared" si="17"/>
        <v>167</v>
      </c>
      <c r="U385" s="8">
        <v>1</v>
      </c>
      <c r="V385" s="8">
        <v>0</v>
      </c>
      <c r="W385" s="8">
        <v>0</v>
      </c>
      <c r="X385" s="8">
        <v>1</v>
      </c>
      <c r="Y385" s="8">
        <v>1</v>
      </c>
      <c r="Z385" s="8">
        <v>1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62" t="s">
        <v>49</v>
      </c>
      <c r="AL385" s="62" t="s">
        <v>50</v>
      </c>
      <c r="AM385" s="62" t="s">
        <v>51</v>
      </c>
      <c r="AN385" s="5"/>
      <c r="AO385" s="7"/>
    </row>
    <row r="386" spans="1:41" ht="15.75" customHeight="1" x14ac:dyDescent="0.25">
      <c r="A386" s="4">
        <v>385</v>
      </c>
      <c r="B386" s="5" t="s">
        <v>923</v>
      </c>
      <c r="C386" s="58">
        <v>3.4</v>
      </c>
      <c r="D386" s="61" t="s">
        <v>924</v>
      </c>
      <c r="E386" s="72" t="s">
        <v>925</v>
      </c>
      <c r="F386" s="62" t="s">
        <v>926</v>
      </c>
      <c r="G386" s="8" t="s">
        <v>43</v>
      </c>
      <c r="H386" s="8">
        <v>1981</v>
      </c>
      <c r="I386" s="62" t="s">
        <v>89</v>
      </c>
      <c r="J386" s="62" t="s">
        <v>58</v>
      </c>
      <c r="K386" s="62" t="s">
        <v>59</v>
      </c>
      <c r="L386" s="62" t="s">
        <v>83</v>
      </c>
      <c r="M386" s="62" t="s">
        <v>47</v>
      </c>
      <c r="N386" s="5">
        <v>0</v>
      </c>
      <c r="O386" s="8">
        <v>0</v>
      </c>
      <c r="P386" s="69">
        <v>90000</v>
      </c>
      <c r="Q386" s="69">
        <v>110000</v>
      </c>
      <c r="R386" s="69">
        <v>100000</v>
      </c>
      <c r="S386" s="62" t="s">
        <v>436</v>
      </c>
      <c r="T386" s="8">
        <f t="shared" si="17"/>
        <v>42</v>
      </c>
      <c r="U386" s="8">
        <v>0</v>
      </c>
      <c r="V386" s="8">
        <v>0</v>
      </c>
      <c r="W386" s="8">
        <v>0</v>
      </c>
      <c r="X386" s="8">
        <v>0</v>
      </c>
      <c r="Y386" s="8">
        <v>1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1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62" t="s">
        <v>146</v>
      </c>
      <c r="AL386" s="62" t="s">
        <v>169</v>
      </c>
      <c r="AM386" s="62" t="s">
        <v>77</v>
      </c>
      <c r="AN386" s="5"/>
      <c r="AO386" s="7"/>
    </row>
    <row r="387" spans="1:41" ht="15.75" customHeight="1" x14ac:dyDescent="0.25">
      <c r="A387" s="4">
        <v>386</v>
      </c>
      <c r="B387" s="5" t="s">
        <v>224</v>
      </c>
      <c r="C387" s="58">
        <v>4.4000000000000004</v>
      </c>
      <c r="D387" s="61" t="s">
        <v>927</v>
      </c>
      <c r="E387" s="72" t="s">
        <v>118</v>
      </c>
      <c r="F387" s="62" t="s">
        <v>243</v>
      </c>
      <c r="G387" s="8" t="s">
        <v>81</v>
      </c>
      <c r="H387" s="8">
        <v>2004</v>
      </c>
      <c r="I387" s="62" t="s">
        <v>44</v>
      </c>
      <c r="J387" s="62" t="s">
        <v>213</v>
      </c>
      <c r="K387" s="62" t="s">
        <v>111</v>
      </c>
      <c r="L387" s="62" t="s">
        <v>83</v>
      </c>
      <c r="M387" s="62" t="s">
        <v>47</v>
      </c>
      <c r="N387" s="5">
        <v>0</v>
      </c>
      <c r="O387" s="8">
        <v>0</v>
      </c>
      <c r="P387" s="69">
        <v>61000</v>
      </c>
      <c r="Q387" s="69">
        <v>109000</v>
      </c>
      <c r="R387" s="69">
        <v>85000</v>
      </c>
      <c r="S387" s="62" t="s">
        <v>122</v>
      </c>
      <c r="T387" s="8">
        <f t="shared" si="17"/>
        <v>19</v>
      </c>
      <c r="U387" s="8">
        <v>1</v>
      </c>
      <c r="V387" s="8">
        <v>1</v>
      </c>
      <c r="W387" s="8">
        <v>1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1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62" t="s">
        <v>146</v>
      </c>
      <c r="AL387" s="62" t="s">
        <v>50</v>
      </c>
      <c r="AM387" s="62" t="s">
        <v>77</v>
      </c>
      <c r="AN387" s="5"/>
      <c r="AO387" s="7"/>
    </row>
    <row r="388" spans="1:41" ht="15.75" customHeight="1" x14ac:dyDescent="0.25">
      <c r="A388" s="4">
        <v>387</v>
      </c>
      <c r="B388" s="5" t="s">
        <v>928</v>
      </c>
      <c r="C388" s="58">
        <v>3.9</v>
      </c>
      <c r="D388" s="61" t="s">
        <v>929</v>
      </c>
      <c r="E388" s="72" t="s">
        <v>930</v>
      </c>
      <c r="F388" s="62" t="s">
        <v>930</v>
      </c>
      <c r="G388" s="8" t="s">
        <v>88</v>
      </c>
      <c r="H388" s="8">
        <v>2012</v>
      </c>
      <c r="I388" s="62" t="s">
        <v>44</v>
      </c>
      <c r="J388" s="62" t="s">
        <v>216</v>
      </c>
      <c r="K388" s="62" t="s">
        <v>111</v>
      </c>
      <c r="L388" s="62" t="s">
        <v>83</v>
      </c>
      <c r="M388" s="62" t="s">
        <v>47</v>
      </c>
      <c r="N388" s="5">
        <v>0</v>
      </c>
      <c r="O388" s="8">
        <v>0</v>
      </c>
      <c r="P388" s="69">
        <v>93000</v>
      </c>
      <c r="Q388" s="69">
        <v>151000</v>
      </c>
      <c r="R388" s="69">
        <v>122000</v>
      </c>
      <c r="S388" s="62" t="s">
        <v>67</v>
      </c>
      <c r="T388" s="8">
        <f t="shared" si="17"/>
        <v>11</v>
      </c>
      <c r="U388" s="8">
        <v>1</v>
      </c>
      <c r="V388" s="8">
        <v>0</v>
      </c>
      <c r="W388" s="8">
        <v>1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62" t="s">
        <v>49</v>
      </c>
      <c r="AL388" s="62" t="s">
        <v>169</v>
      </c>
      <c r="AM388" s="62" t="s">
        <v>51</v>
      </c>
      <c r="AN388" s="5"/>
      <c r="AO388" s="7"/>
    </row>
    <row r="389" spans="1:41" ht="15.75" customHeight="1" x14ac:dyDescent="0.25">
      <c r="A389" s="4">
        <v>388</v>
      </c>
      <c r="B389" s="5" t="s">
        <v>931</v>
      </c>
      <c r="C389" s="58">
        <v>3.9</v>
      </c>
      <c r="D389" s="61" t="s">
        <v>932</v>
      </c>
      <c r="E389" s="72" t="s">
        <v>172</v>
      </c>
      <c r="F389" s="62" t="s">
        <v>933</v>
      </c>
      <c r="G389" s="8" t="s">
        <v>43</v>
      </c>
      <c r="H389" s="8">
        <v>1995</v>
      </c>
      <c r="I389" s="62" t="s">
        <v>44</v>
      </c>
      <c r="J389" s="62" t="s">
        <v>155</v>
      </c>
      <c r="K389" s="62" t="s">
        <v>111</v>
      </c>
      <c r="L389" s="62" t="s">
        <v>66</v>
      </c>
      <c r="M389" s="62" t="s">
        <v>47</v>
      </c>
      <c r="N389" s="5">
        <v>0</v>
      </c>
      <c r="O389" s="8">
        <v>0</v>
      </c>
      <c r="P389" s="69">
        <v>52000</v>
      </c>
      <c r="Q389" s="69">
        <v>81000</v>
      </c>
      <c r="R389" s="69">
        <v>66500</v>
      </c>
      <c r="S389" s="62" t="s">
        <v>176</v>
      </c>
      <c r="T389" s="8">
        <f t="shared" si="17"/>
        <v>28</v>
      </c>
      <c r="U389" s="8">
        <v>1</v>
      </c>
      <c r="V389" s="8">
        <v>0</v>
      </c>
      <c r="W389" s="8">
        <v>0</v>
      </c>
      <c r="X389" s="8">
        <v>0</v>
      </c>
      <c r="Y389" s="8">
        <v>1</v>
      </c>
      <c r="Z389" s="8">
        <v>1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1</v>
      </c>
      <c r="AG389" s="8">
        <v>1</v>
      </c>
      <c r="AH389" s="8">
        <v>0</v>
      </c>
      <c r="AI389" s="8">
        <v>0</v>
      </c>
      <c r="AJ389" s="8">
        <v>0</v>
      </c>
      <c r="AK389" s="62" t="s">
        <v>1291</v>
      </c>
      <c r="AL389" s="62" t="s">
        <v>50</v>
      </c>
      <c r="AM389" s="62" t="s">
        <v>51</v>
      </c>
      <c r="AN389" s="5"/>
      <c r="AO389" s="7"/>
    </row>
    <row r="390" spans="1:41" ht="15.75" customHeight="1" x14ac:dyDescent="0.25">
      <c r="A390" s="4">
        <v>389</v>
      </c>
      <c r="B390" s="5" t="s">
        <v>934</v>
      </c>
      <c r="C390" s="58">
        <v>4.7</v>
      </c>
      <c r="D390" s="61" t="s">
        <v>935</v>
      </c>
      <c r="E390" s="72" t="s">
        <v>936</v>
      </c>
      <c r="F390" s="62" t="s">
        <v>936</v>
      </c>
      <c r="G390" s="8" t="s">
        <v>70</v>
      </c>
      <c r="H390" s="8">
        <v>2002</v>
      </c>
      <c r="I390" s="62" t="s">
        <v>44</v>
      </c>
      <c r="J390" s="62" t="s">
        <v>613</v>
      </c>
      <c r="K390" s="62" t="s">
        <v>96</v>
      </c>
      <c r="L390" s="62" t="s">
        <v>83</v>
      </c>
      <c r="M390" s="62" t="s">
        <v>47</v>
      </c>
      <c r="N390" s="5">
        <v>0</v>
      </c>
      <c r="O390" s="8">
        <v>0</v>
      </c>
      <c r="P390" s="69">
        <v>40000</v>
      </c>
      <c r="Q390" s="69">
        <v>101000</v>
      </c>
      <c r="R390" s="69">
        <v>70500</v>
      </c>
      <c r="S390" s="62" t="s">
        <v>288</v>
      </c>
      <c r="T390" s="8">
        <f t="shared" si="17"/>
        <v>21</v>
      </c>
      <c r="U390" s="8">
        <v>0</v>
      </c>
      <c r="V390" s="8">
        <v>1</v>
      </c>
      <c r="W390" s="8">
        <v>0</v>
      </c>
      <c r="X390" s="8">
        <v>1</v>
      </c>
      <c r="Y390" s="8">
        <v>1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1</v>
      </c>
      <c r="AF390" s="8">
        <v>1</v>
      </c>
      <c r="AG390" s="8">
        <v>0</v>
      </c>
      <c r="AH390" s="8">
        <v>0</v>
      </c>
      <c r="AI390" s="8">
        <v>1</v>
      </c>
      <c r="AJ390" s="8">
        <v>0</v>
      </c>
      <c r="AK390" s="62" t="s">
        <v>107</v>
      </c>
      <c r="AL390" s="62" t="s">
        <v>50</v>
      </c>
      <c r="AM390" s="62" t="s">
        <v>77</v>
      </c>
      <c r="AN390" s="5"/>
      <c r="AO390" s="7"/>
    </row>
    <row r="391" spans="1:41" ht="15.75" customHeight="1" x14ac:dyDescent="0.25">
      <c r="A391" s="4">
        <v>390</v>
      </c>
      <c r="B391" s="5" t="s">
        <v>464</v>
      </c>
      <c r="C391" s="58">
        <v>4.7</v>
      </c>
      <c r="D391" s="61" t="s">
        <v>937</v>
      </c>
      <c r="E391" s="72" t="s">
        <v>732</v>
      </c>
      <c r="F391" s="62" t="s">
        <v>732</v>
      </c>
      <c r="G391" s="8" t="s">
        <v>81</v>
      </c>
      <c r="H391" s="8">
        <v>2010</v>
      </c>
      <c r="I391" s="62" t="s">
        <v>44</v>
      </c>
      <c r="J391" s="62" t="s">
        <v>64</v>
      </c>
      <c r="K391" s="62" t="s">
        <v>65</v>
      </c>
      <c r="L391" s="62" t="s">
        <v>180</v>
      </c>
      <c r="M391" s="62" t="s">
        <v>47</v>
      </c>
      <c r="N391" s="5">
        <v>0</v>
      </c>
      <c r="O391" s="8">
        <v>0</v>
      </c>
      <c r="P391" s="69">
        <v>97000</v>
      </c>
      <c r="Q391" s="69">
        <v>180000</v>
      </c>
      <c r="R391" s="69">
        <v>138500</v>
      </c>
      <c r="S391" s="62" t="s">
        <v>93</v>
      </c>
      <c r="T391" s="8">
        <f t="shared" si="17"/>
        <v>13</v>
      </c>
      <c r="U391" s="8">
        <v>1</v>
      </c>
      <c r="V391" s="8">
        <v>1</v>
      </c>
      <c r="W391" s="8">
        <v>0</v>
      </c>
      <c r="X391" s="8">
        <v>0</v>
      </c>
      <c r="Y391" s="8">
        <v>1</v>
      </c>
      <c r="Z391" s="8">
        <v>0</v>
      </c>
      <c r="AA391" s="8">
        <v>0</v>
      </c>
      <c r="AB391" s="8">
        <v>0</v>
      </c>
      <c r="AC391" s="8">
        <v>0</v>
      </c>
      <c r="AD391" s="8">
        <v>1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62" t="s">
        <v>146</v>
      </c>
      <c r="AL391" s="62" t="s">
        <v>169</v>
      </c>
      <c r="AM391" s="62" t="s">
        <v>77</v>
      </c>
      <c r="AN391" s="5"/>
      <c r="AO391" s="7"/>
    </row>
    <row r="392" spans="1:41" ht="15.75" customHeight="1" x14ac:dyDescent="0.25">
      <c r="A392" s="4">
        <v>391</v>
      </c>
      <c r="B392" s="5" t="s">
        <v>938</v>
      </c>
      <c r="C392" s="58">
        <v>3.4</v>
      </c>
      <c r="D392" s="61" t="s">
        <v>510</v>
      </c>
      <c r="E392" s="72" t="s">
        <v>269</v>
      </c>
      <c r="F392" s="62" t="s">
        <v>511</v>
      </c>
      <c r="G392" s="8" t="s">
        <v>70</v>
      </c>
      <c r="H392" s="8">
        <v>1943</v>
      </c>
      <c r="I392" s="62" t="s">
        <v>44</v>
      </c>
      <c r="J392" s="62" t="s">
        <v>100</v>
      </c>
      <c r="K392" s="62" t="s">
        <v>65</v>
      </c>
      <c r="L392" s="62" t="s">
        <v>66</v>
      </c>
      <c r="M392" s="62" t="s">
        <v>512</v>
      </c>
      <c r="N392" s="5">
        <v>0</v>
      </c>
      <c r="O392" s="8">
        <v>0</v>
      </c>
      <c r="P392" s="69">
        <v>81000</v>
      </c>
      <c r="Q392" s="69">
        <v>134000</v>
      </c>
      <c r="R392" s="69">
        <v>107500</v>
      </c>
      <c r="S392" s="62" t="s">
        <v>138</v>
      </c>
      <c r="T392" s="8">
        <f t="shared" si="17"/>
        <v>80</v>
      </c>
      <c r="U392" s="8">
        <v>0</v>
      </c>
      <c r="V392" s="8">
        <v>1</v>
      </c>
      <c r="W392" s="8">
        <v>0</v>
      </c>
      <c r="X392" s="8">
        <v>1</v>
      </c>
      <c r="Y392" s="8">
        <v>1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1</v>
      </c>
      <c r="AF392" s="8">
        <v>1</v>
      </c>
      <c r="AG392" s="8">
        <v>0</v>
      </c>
      <c r="AH392" s="8">
        <v>0</v>
      </c>
      <c r="AI392" s="8">
        <v>1</v>
      </c>
      <c r="AJ392" s="8">
        <v>0</v>
      </c>
      <c r="AK392" s="62" t="s">
        <v>49</v>
      </c>
      <c r="AL392" s="62" t="s">
        <v>50</v>
      </c>
      <c r="AM392" s="62" t="s">
        <v>77</v>
      </c>
      <c r="AN392" s="5"/>
      <c r="AO392" s="7"/>
    </row>
    <row r="393" spans="1:41" ht="15.75" customHeight="1" x14ac:dyDescent="0.25">
      <c r="A393" s="4">
        <v>392</v>
      </c>
      <c r="B393" s="5" t="s">
        <v>939</v>
      </c>
      <c r="C393" s="58">
        <v>3.8</v>
      </c>
      <c r="D393" s="61" t="s">
        <v>940</v>
      </c>
      <c r="E393" s="72" t="s">
        <v>134</v>
      </c>
      <c r="F393" s="62" t="s">
        <v>134</v>
      </c>
      <c r="G393" s="8" t="s">
        <v>43</v>
      </c>
      <c r="H393" s="8">
        <v>2008</v>
      </c>
      <c r="I393" s="62" t="s">
        <v>89</v>
      </c>
      <c r="J393" s="62" t="s">
        <v>136</v>
      </c>
      <c r="K393" s="62" t="s">
        <v>136</v>
      </c>
      <c r="L393" s="62" t="s">
        <v>46</v>
      </c>
      <c r="M393" s="62" t="s">
        <v>47</v>
      </c>
      <c r="N393" s="5">
        <v>0</v>
      </c>
      <c r="O393" s="8">
        <v>0</v>
      </c>
      <c r="P393" s="69">
        <v>84000</v>
      </c>
      <c r="Q393" s="69">
        <v>157000</v>
      </c>
      <c r="R393" s="69">
        <v>120500</v>
      </c>
      <c r="S393" s="62" t="s">
        <v>138</v>
      </c>
      <c r="T393" s="8">
        <f t="shared" si="17"/>
        <v>15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1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62" t="s">
        <v>107</v>
      </c>
      <c r="AL393" s="62" t="s">
        <v>50</v>
      </c>
      <c r="AM393" s="62" t="s">
        <v>51</v>
      </c>
      <c r="AN393" s="5"/>
      <c r="AO393" s="7"/>
    </row>
    <row r="394" spans="1:41" ht="15.75" customHeight="1" x14ac:dyDescent="0.25">
      <c r="A394" s="4">
        <v>393</v>
      </c>
      <c r="B394" s="5" t="s">
        <v>941</v>
      </c>
      <c r="C394" s="58">
        <v>2.7</v>
      </c>
      <c r="D394" s="61" t="s">
        <v>673</v>
      </c>
      <c r="E394" s="72" t="s">
        <v>454</v>
      </c>
      <c r="F394" s="62" t="s">
        <v>454</v>
      </c>
      <c r="G394" s="8" t="s">
        <v>88</v>
      </c>
      <c r="H394" s="8">
        <v>1961</v>
      </c>
      <c r="I394" s="62" t="s">
        <v>44</v>
      </c>
      <c r="J394" s="62" t="s">
        <v>136</v>
      </c>
      <c r="K394" s="62" t="s">
        <v>136</v>
      </c>
      <c r="L394" s="62" t="s">
        <v>101</v>
      </c>
      <c r="M394" s="62" t="s">
        <v>47</v>
      </c>
      <c r="N394" s="5">
        <v>0</v>
      </c>
      <c r="O394" s="8">
        <v>0</v>
      </c>
      <c r="P394" s="69">
        <v>49000</v>
      </c>
      <c r="Q394" s="69">
        <v>113000</v>
      </c>
      <c r="R394" s="69">
        <v>81000</v>
      </c>
      <c r="S394" s="62" t="s">
        <v>61</v>
      </c>
      <c r="T394" s="8">
        <f t="shared" si="17"/>
        <v>62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62" t="s">
        <v>107</v>
      </c>
      <c r="AL394" s="62" t="s">
        <v>50</v>
      </c>
      <c r="AM394" s="62" t="s">
        <v>77</v>
      </c>
      <c r="AN394" s="5"/>
      <c r="AO394" s="7"/>
    </row>
    <row r="395" spans="1:41" ht="15.75" customHeight="1" x14ac:dyDescent="0.25">
      <c r="A395" s="4">
        <v>394</v>
      </c>
      <c r="B395" s="5" t="s">
        <v>942</v>
      </c>
      <c r="C395" s="58">
        <v>3.1</v>
      </c>
      <c r="D395" s="61" t="s">
        <v>833</v>
      </c>
      <c r="E395" s="72" t="s">
        <v>834</v>
      </c>
      <c r="F395" s="62" t="s">
        <v>835</v>
      </c>
      <c r="G395" s="8" t="s">
        <v>120</v>
      </c>
      <c r="H395" s="8">
        <v>1875</v>
      </c>
      <c r="I395" s="62" t="s">
        <v>44</v>
      </c>
      <c r="J395" s="62" t="s">
        <v>499</v>
      </c>
      <c r="K395" s="62" t="s">
        <v>427</v>
      </c>
      <c r="L395" s="62" t="s">
        <v>128</v>
      </c>
      <c r="M395" s="62" t="s">
        <v>47</v>
      </c>
      <c r="N395" s="5">
        <v>0</v>
      </c>
      <c r="O395" s="8">
        <v>0</v>
      </c>
      <c r="P395" s="69">
        <v>68000</v>
      </c>
      <c r="Q395" s="69">
        <v>139000</v>
      </c>
      <c r="R395" s="69">
        <v>103500</v>
      </c>
      <c r="S395" s="62" t="s">
        <v>181</v>
      </c>
      <c r="T395" s="8">
        <f t="shared" si="17"/>
        <v>148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62" t="s">
        <v>107</v>
      </c>
      <c r="AL395" s="62" t="s">
        <v>50</v>
      </c>
      <c r="AM395" s="62" t="s">
        <v>77</v>
      </c>
      <c r="AN395" s="5"/>
      <c r="AO395" s="7"/>
    </row>
    <row r="396" spans="1:41" ht="15.75" customHeight="1" x14ac:dyDescent="0.25">
      <c r="A396" s="4">
        <v>395</v>
      </c>
      <c r="B396" s="5" t="s">
        <v>674</v>
      </c>
      <c r="C396" s="58">
        <v>3.4</v>
      </c>
      <c r="D396" s="61" t="s">
        <v>675</v>
      </c>
      <c r="E396" s="72" t="s">
        <v>172</v>
      </c>
      <c r="F396" s="62" t="s">
        <v>172</v>
      </c>
      <c r="G396" s="8" t="s">
        <v>70</v>
      </c>
      <c r="H396" s="8">
        <v>2005</v>
      </c>
      <c r="I396" s="62" t="s">
        <v>89</v>
      </c>
      <c r="J396" s="62" t="s">
        <v>676</v>
      </c>
      <c r="K396" s="62" t="s">
        <v>175</v>
      </c>
      <c r="L396" s="62" t="s">
        <v>60</v>
      </c>
      <c r="M396" s="62" t="s">
        <v>677</v>
      </c>
      <c r="N396" s="5">
        <v>0</v>
      </c>
      <c r="O396" s="8">
        <v>0</v>
      </c>
      <c r="P396" s="69">
        <v>75000</v>
      </c>
      <c r="Q396" s="69">
        <v>140000</v>
      </c>
      <c r="R396" s="69">
        <v>107500</v>
      </c>
      <c r="S396" s="62" t="s">
        <v>176</v>
      </c>
      <c r="T396" s="8">
        <f t="shared" si="17"/>
        <v>18</v>
      </c>
      <c r="U396" s="8">
        <v>0</v>
      </c>
      <c r="V396" s="8">
        <v>0</v>
      </c>
      <c r="W396" s="8">
        <v>0</v>
      </c>
      <c r="X396" s="8">
        <v>0</v>
      </c>
      <c r="Y396" s="8">
        <v>1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62" t="s">
        <v>146</v>
      </c>
      <c r="AL396" s="62" t="s">
        <v>169</v>
      </c>
      <c r="AM396" s="62" t="s">
        <v>77</v>
      </c>
      <c r="AN396" s="5"/>
      <c r="AO396" s="7"/>
    </row>
    <row r="397" spans="1:41" ht="15.75" customHeight="1" x14ac:dyDescent="0.25">
      <c r="A397" s="4">
        <v>396</v>
      </c>
      <c r="B397" s="5" t="s">
        <v>943</v>
      </c>
      <c r="C397" s="58">
        <v>4</v>
      </c>
      <c r="D397" s="61" t="s">
        <v>944</v>
      </c>
      <c r="E397" s="72" t="s">
        <v>98</v>
      </c>
      <c r="F397" s="62" t="s">
        <v>945</v>
      </c>
      <c r="G397" s="8" t="s">
        <v>70</v>
      </c>
      <c r="H397" s="8">
        <v>2007</v>
      </c>
      <c r="I397" s="62" t="s">
        <v>44</v>
      </c>
      <c r="J397" s="62" t="s">
        <v>110</v>
      </c>
      <c r="K397" s="62" t="s">
        <v>111</v>
      </c>
      <c r="L397" s="62" t="s">
        <v>83</v>
      </c>
      <c r="M397" s="62" t="s">
        <v>946</v>
      </c>
      <c r="N397" s="5">
        <v>0</v>
      </c>
      <c r="O397" s="8">
        <v>0</v>
      </c>
      <c r="P397" s="69">
        <v>121000</v>
      </c>
      <c r="Q397" s="69">
        <v>203000</v>
      </c>
      <c r="R397" s="69">
        <v>162000</v>
      </c>
      <c r="S397" s="62" t="s">
        <v>102</v>
      </c>
      <c r="T397" s="8">
        <f t="shared" si="17"/>
        <v>16</v>
      </c>
      <c r="U397" s="8">
        <v>1</v>
      </c>
      <c r="V397" s="8">
        <v>1</v>
      </c>
      <c r="W397" s="8">
        <v>1</v>
      </c>
      <c r="X397" s="8">
        <v>1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1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62" t="s">
        <v>146</v>
      </c>
      <c r="AL397" s="62" t="s">
        <v>169</v>
      </c>
      <c r="AM397" s="62" t="s">
        <v>77</v>
      </c>
      <c r="AN397" s="5"/>
      <c r="AO397" s="7"/>
    </row>
    <row r="398" spans="1:41" ht="15.75" customHeight="1" x14ac:dyDescent="0.25">
      <c r="A398" s="4">
        <v>397</v>
      </c>
      <c r="B398" s="5" t="s">
        <v>947</v>
      </c>
      <c r="C398" s="58">
        <v>3.5</v>
      </c>
      <c r="D398" s="61" t="s">
        <v>214</v>
      </c>
      <c r="E398" s="72" t="s">
        <v>215</v>
      </c>
      <c r="F398" s="62" t="s">
        <v>215</v>
      </c>
      <c r="G398" s="8" t="s">
        <v>70</v>
      </c>
      <c r="H398" s="8">
        <v>1969</v>
      </c>
      <c r="I398" s="62" t="s">
        <v>44</v>
      </c>
      <c r="J398" s="62" t="s">
        <v>216</v>
      </c>
      <c r="K398" s="62" t="s">
        <v>111</v>
      </c>
      <c r="L398" s="62" t="s">
        <v>91</v>
      </c>
      <c r="M398" s="62" t="s">
        <v>217</v>
      </c>
      <c r="N398" s="5">
        <v>0</v>
      </c>
      <c r="O398" s="8">
        <v>0</v>
      </c>
      <c r="P398" s="69">
        <v>52000</v>
      </c>
      <c r="Q398" s="69">
        <v>85000</v>
      </c>
      <c r="R398" s="69">
        <v>68500</v>
      </c>
      <c r="S398" s="62" t="s">
        <v>102</v>
      </c>
      <c r="T398" s="8">
        <f t="shared" si="17"/>
        <v>54</v>
      </c>
      <c r="U398" s="8">
        <v>1</v>
      </c>
      <c r="V398" s="8">
        <v>1</v>
      </c>
      <c r="W398" s="8">
        <v>0</v>
      </c>
      <c r="X398" s="8">
        <v>1</v>
      </c>
      <c r="Y398" s="8">
        <v>0</v>
      </c>
      <c r="Z398" s="8">
        <v>0</v>
      </c>
      <c r="AA398" s="8">
        <v>0</v>
      </c>
      <c r="AB398" s="8">
        <v>1</v>
      </c>
      <c r="AC398" s="8">
        <v>1</v>
      </c>
      <c r="AD398" s="8">
        <v>1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62" t="s">
        <v>49</v>
      </c>
      <c r="AL398" s="62" t="s">
        <v>50</v>
      </c>
      <c r="AM398" s="62" t="s">
        <v>51</v>
      </c>
      <c r="AN398" s="5"/>
      <c r="AO398" s="7"/>
    </row>
    <row r="399" spans="1:41" ht="15.75" customHeight="1" x14ac:dyDescent="0.25">
      <c r="A399" s="4">
        <v>398</v>
      </c>
      <c r="B399" s="5" t="s">
        <v>948</v>
      </c>
      <c r="C399" s="58">
        <v>3.4</v>
      </c>
      <c r="D399" s="61" t="s">
        <v>949</v>
      </c>
      <c r="E399" s="72" t="s">
        <v>950</v>
      </c>
      <c r="F399" s="62" t="s">
        <v>80</v>
      </c>
      <c r="G399" s="8" t="s">
        <v>56</v>
      </c>
      <c r="H399" s="8">
        <v>1978</v>
      </c>
      <c r="I399" s="62" t="s">
        <v>89</v>
      </c>
      <c r="J399" s="62" t="s">
        <v>161</v>
      </c>
      <c r="K399" s="62" t="s">
        <v>162</v>
      </c>
      <c r="L399" s="62" t="s">
        <v>194</v>
      </c>
      <c r="M399" s="62" t="s">
        <v>951</v>
      </c>
      <c r="N399" s="5">
        <v>0</v>
      </c>
      <c r="O399" s="8">
        <v>0</v>
      </c>
      <c r="P399" s="69">
        <v>81000</v>
      </c>
      <c r="Q399" s="69">
        <v>140000</v>
      </c>
      <c r="R399" s="69">
        <v>110500</v>
      </c>
      <c r="S399" s="62" t="s">
        <v>258</v>
      </c>
      <c r="T399" s="8">
        <f t="shared" si="17"/>
        <v>45</v>
      </c>
      <c r="U399" s="8">
        <v>0</v>
      </c>
      <c r="V399" s="8">
        <v>0</v>
      </c>
      <c r="W399" s="8">
        <v>0</v>
      </c>
      <c r="X399" s="8">
        <v>1</v>
      </c>
      <c r="Y399" s="8">
        <v>1</v>
      </c>
      <c r="Z399" s="8">
        <v>0</v>
      </c>
      <c r="AA399" s="8">
        <v>0</v>
      </c>
      <c r="AB399" s="8">
        <v>1</v>
      </c>
      <c r="AC399" s="8">
        <v>0</v>
      </c>
      <c r="AD399" s="8">
        <v>1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62" t="s">
        <v>49</v>
      </c>
      <c r="AL399" s="62" t="s">
        <v>169</v>
      </c>
      <c r="AM399" s="62" t="s">
        <v>77</v>
      </c>
      <c r="AN399" s="5"/>
      <c r="AO399" s="7"/>
    </row>
    <row r="400" spans="1:41" ht="15.75" customHeight="1" x14ac:dyDescent="0.25">
      <c r="A400" s="4">
        <v>399</v>
      </c>
      <c r="B400" s="5" t="s">
        <v>259</v>
      </c>
      <c r="C400" s="58">
        <v>3.7</v>
      </c>
      <c r="D400" s="61" t="s">
        <v>260</v>
      </c>
      <c r="E400" s="72" t="s">
        <v>261</v>
      </c>
      <c r="F400" s="62" t="s">
        <v>262</v>
      </c>
      <c r="G400" s="8" t="s">
        <v>56</v>
      </c>
      <c r="H400" s="8">
        <v>1925</v>
      </c>
      <c r="I400" s="62" t="s">
        <v>89</v>
      </c>
      <c r="J400" s="62" t="s">
        <v>481</v>
      </c>
      <c r="K400" s="62" t="s">
        <v>427</v>
      </c>
      <c r="L400" s="62" t="s">
        <v>128</v>
      </c>
      <c r="M400" s="62" t="s">
        <v>263</v>
      </c>
      <c r="N400" s="5">
        <v>0</v>
      </c>
      <c r="O400" s="8">
        <v>0</v>
      </c>
      <c r="P400" s="69">
        <v>63000</v>
      </c>
      <c r="Q400" s="69">
        <v>99000</v>
      </c>
      <c r="R400" s="69">
        <v>81000</v>
      </c>
      <c r="S400" s="62" t="s">
        <v>176</v>
      </c>
      <c r="T400" s="8">
        <f t="shared" si="17"/>
        <v>98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1</v>
      </c>
      <c r="AG400" s="8">
        <v>0</v>
      </c>
      <c r="AH400" s="8">
        <v>0</v>
      </c>
      <c r="AI400" s="8">
        <v>0</v>
      </c>
      <c r="AJ400" s="8">
        <v>0</v>
      </c>
      <c r="AK400" s="62" t="s">
        <v>49</v>
      </c>
      <c r="AL400" s="62" t="s">
        <v>50</v>
      </c>
      <c r="AM400" s="62" t="s">
        <v>77</v>
      </c>
      <c r="AN400" s="5"/>
      <c r="AO400" s="7"/>
    </row>
    <row r="401" spans="1:41" ht="15.75" customHeight="1" x14ac:dyDescent="0.25">
      <c r="A401" s="4">
        <v>400</v>
      </c>
      <c r="B401" s="5" t="s">
        <v>220</v>
      </c>
      <c r="C401" s="58">
        <v>4.3</v>
      </c>
      <c r="D401" s="61" t="s">
        <v>240</v>
      </c>
      <c r="E401" s="72" t="s">
        <v>172</v>
      </c>
      <c r="F401" s="62" t="s">
        <v>172</v>
      </c>
      <c r="G401" s="8" t="s">
        <v>70</v>
      </c>
      <c r="H401" s="8">
        <v>1993</v>
      </c>
      <c r="I401" s="62" t="s">
        <v>89</v>
      </c>
      <c r="J401" s="62" t="s">
        <v>90</v>
      </c>
      <c r="K401" s="62" t="s">
        <v>90</v>
      </c>
      <c r="L401" s="62" t="s">
        <v>60</v>
      </c>
      <c r="M401" s="62" t="s">
        <v>241</v>
      </c>
      <c r="N401" s="5">
        <v>0</v>
      </c>
      <c r="O401" s="8">
        <v>0</v>
      </c>
      <c r="P401" s="69">
        <v>110000</v>
      </c>
      <c r="Q401" s="69">
        <v>150000</v>
      </c>
      <c r="R401" s="69">
        <v>130000</v>
      </c>
      <c r="S401" s="62" t="s">
        <v>176</v>
      </c>
      <c r="T401" s="8">
        <f t="shared" si="17"/>
        <v>30</v>
      </c>
      <c r="U401" s="8">
        <v>1</v>
      </c>
      <c r="V401" s="8">
        <v>1</v>
      </c>
      <c r="W401" s="8">
        <v>0</v>
      </c>
      <c r="X401" s="8">
        <v>1</v>
      </c>
      <c r="Y401" s="8">
        <v>1</v>
      </c>
      <c r="Z401" s="8">
        <v>0</v>
      </c>
      <c r="AA401" s="8">
        <v>0</v>
      </c>
      <c r="AB401" s="8">
        <v>0</v>
      </c>
      <c r="AC401" s="8">
        <v>1</v>
      </c>
      <c r="AD401" s="8">
        <v>0</v>
      </c>
      <c r="AE401" s="8">
        <v>1</v>
      </c>
      <c r="AF401" s="8">
        <v>1</v>
      </c>
      <c r="AG401" s="8">
        <v>1</v>
      </c>
      <c r="AH401" s="8">
        <v>0</v>
      </c>
      <c r="AI401" s="8">
        <v>0</v>
      </c>
      <c r="AJ401" s="8">
        <v>0</v>
      </c>
      <c r="AK401" s="62" t="s">
        <v>49</v>
      </c>
      <c r="AL401" s="62" t="s">
        <v>169</v>
      </c>
      <c r="AM401" s="62" t="s">
        <v>51</v>
      </c>
      <c r="AN401" s="5"/>
      <c r="AO401" s="7"/>
    </row>
    <row r="402" spans="1:41" ht="15.75" customHeight="1" x14ac:dyDescent="0.25">
      <c r="A402" s="4">
        <v>401</v>
      </c>
      <c r="B402" s="5" t="s">
        <v>952</v>
      </c>
      <c r="C402" s="58">
        <v>3.7</v>
      </c>
      <c r="D402" s="61" t="s">
        <v>953</v>
      </c>
      <c r="E402" s="72" t="s">
        <v>954</v>
      </c>
      <c r="F402" s="62" t="s">
        <v>955</v>
      </c>
      <c r="G402" s="8" t="s">
        <v>88</v>
      </c>
      <c r="H402" s="8" t="s">
        <v>47</v>
      </c>
      <c r="I402" s="62" t="s">
        <v>142</v>
      </c>
      <c r="J402" s="62" t="s">
        <v>161</v>
      </c>
      <c r="K402" s="62" t="s">
        <v>162</v>
      </c>
      <c r="L402" s="62" t="s">
        <v>66</v>
      </c>
      <c r="M402" s="62" t="s">
        <v>47</v>
      </c>
      <c r="N402" s="5">
        <v>0</v>
      </c>
      <c r="O402" s="8">
        <v>0</v>
      </c>
      <c r="P402" s="69">
        <v>83000</v>
      </c>
      <c r="Q402" s="69">
        <v>148000</v>
      </c>
      <c r="R402" s="69">
        <v>115500</v>
      </c>
      <c r="S402" s="62" t="s">
        <v>766</v>
      </c>
      <c r="T402" s="8" t="s">
        <v>47</v>
      </c>
      <c r="U402" s="8">
        <v>1</v>
      </c>
      <c r="V402" s="8">
        <v>0</v>
      </c>
      <c r="W402" s="8">
        <v>0</v>
      </c>
      <c r="X402" s="8">
        <v>1</v>
      </c>
      <c r="Y402" s="8">
        <v>1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1</v>
      </c>
      <c r="AG402" s="8">
        <v>0</v>
      </c>
      <c r="AH402" s="8">
        <v>0</v>
      </c>
      <c r="AI402" s="8">
        <v>0</v>
      </c>
      <c r="AJ402" s="8">
        <v>0</v>
      </c>
      <c r="AK402" s="62" t="s">
        <v>146</v>
      </c>
      <c r="AL402" s="62" t="s">
        <v>169</v>
      </c>
      <c r="AM402" s="62" t="s">
        <v>77</v>
      </c>
      <c r="AN402" s="5"/>
      <c r="AO402" s="7"/>
    </row>
    <row r="403" spans="1:41" ht="15.75" customHeight="1" x14ac:dyDescent="0.25">
      <c r="A403" s="4">
        <v>402</v>
      </c>
      <c r="B403" s="5" t="s">
        <v>956</v>
      </c>
      <c r="C403" s="58">
        <v>3.8</v>
      </c>
      <c r="D403" s="61" t="s">
        <v>68</v>
      </c>
      <c r="E403" s="72" t="s">
        <v>69</v>
      </c>
      <c r="F403" s="62" t="s">
        <v>69</v>
      </c>
      <c r="G403" s="8" t="s">
        <v>70</v>
      </c>
      <c r="H403" s="8">
        <v>1965</v>
      </c>
      <c r="I403" s="62" t="s">
        <v>71</v>
      </c>
      <c r="J403" s="62" t="s">
        <v>72</v>
      </c>
      <c r="K403" s="62" t="s">
        <v>73</v>
      </c>
      <c r="L403" s="62" t="s">
        <v>74</v>
      </c>
      <c r="M403" s="62" t="s">
        <v>75</v>
      </c>
      <c r="N403" s="5">
        <v>0</v>
      </c>
      <c r="O403" s="8">
        <v>0</v>
      </c>
      <c r="P403" s="69">
        <v>60000</v>
      </c>
      <c r="Q403" s="69">
        <v>101000</v>
      </c>
      <c r="R403" s="69">
        <v>80500</v>
      </c>
      <c r="S403" s="62" t="s">
        <v>76</v>
      </c>
      <c r="T403" s="8">
        <f t="shared" ref="T403:T405" si="18">2023-H403</f>
        <v>58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1</v>
      </c>
      <c r="AC403" s="8">
        <v>0</v>
      </c>
      <c r="AD403" s="8">
        <v>1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62" t="s">
        <v>49</v>
      </c>
      <c r="AL403" s="62" t="s">
        <v>169</v>
      </c>
      <c r="AM403" s="62" t="s">
        <v>51</v>
      </c>
      <c r="AN403" s="5"/>
      <c r="AO403" s="7"/>
    </row>
    <row r="404" spans="1:41" ht="15.75" customHeight="1" x14ac:dyDescent="0.25">
      <c r="A404" s="4">
        <v>403</v>
      </c>
      <c r="B404" s="5" t="s">
        <v>957</v>
      </c>
      <c r="C404" s="58">
        <v>4.5999999999999996</v>
      </c>
      <c r="D404" s="61" t="s">
        <v>958</v>
      </c>
      <c r="E404" s="72" t="s">
        <v>959</v>
      </c>
      <c r="F404" s="62" t="s">
        <v>960</v>
      </c>
      <c r="G404" s="8" t="s">
        <v>43</v>
      </c>
      <c r="H404" s="8">
        <v>1992</v>
      </c>
      <c r="I404" s="62" t="s">
        <v>44</v>
      </c>
      <c r="J404" s="62" t="s">
        <v>613</v>
      </c>
      <c r="K404" s="62" t="s">
        <v>96</v>
      </c>
      <c r="L404" s="62" t="s">
        <v>66</v>
      </c>
      <c r="M404" s="62" t="s">
        <v>47</v>
      </c>
      <c r="N404" s="5">
        <v>0</v>
      </c>
      <c r="O404" s="8">
        <v>0</v>
      </c>
      <c r="P404" s="69">
        <v>31000</v>
      </c>
      <c r="Q404" s="69">
        <v>55000</v>
      </c>
      <c r="R404" s="69">
        <v>43000</v>
      </c>
      <c r="S404" s="62" t="s">
        <v>766</v>
      </c>
      <c r="T404" s="8">
        <f t="shared" si="18"/>
        <v>31</v>
      </c>
      <c r="U404" s="8">
        <v>0</v>
      </c>
      <c r="V404" s="8">
        <v>0</v>
      </c>
      <c r="W404" s="8">
        <v>0</v>
      </c>
      <c r="X404" s="8">
        <v>1</v>
      </c>
      <c r="Y404" s="8">
        <v>1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1</v>
      </c>
      <c r="AG404" s="8">
        <v>0</v>
      </c>
      <c r="AH404" s="8">
        <v>0</v>
      </c>
      <c r="AI404" s="8">
        <v>0</v>
      </c>
      <c r="AJ404" s="8">
        <v>0</v>
      </c>
      <c r="AK404" s="62" t="s">
        <v>132</v>
      </c>
      <c r="AL404" s="62" t="s">
        <v>50</v>
      </c>
      <c r="AM404" s="62" t="s">
        <v>77</v>
      </c>
      <c r="AN404" s="5"/>
      <c r="AO404" s="7"/>
    </row>
    <row r="405" spans="1:41" ht="15.75" customHeight="1" x14ac:dyDescent="0.25">
      <c r="A405" s="4">
        <v>404</v>
      </c>
      <c r="B405" s="5" t="s">
        <v>961</v>
      </c>
      <c r="C405" s="58">
        <v>4.4000000000000004</v>
      </c>
      <c r="D405" s="61" t="s">
        <v>962</v>
      </c>
      <c r="E405" s="72" t="s">
        <v>134</v>
      </c>
      <c r="F405" s="62" t="s">
        <v>134</v>
      </c>
      <c r="G405" s="8" t="s">
        <v>88</v>
      </c>
      <c r="H405" s="8">
        <v>2003</v>
      </c>
      <c r="I405" s="62" t="s">
        <v>89</v>
      </c>
      <c r="J405" s="62" t="s">
        <v>136</v>
      </c>
      <c r="K405" s="62" t="s">
        <v>136</v>
      </c>
      <c r="L405" s="62" t="s">
        <v>83</v>
      </c>
      <c r="M405" s="62" t="s">
        <v>47</v>
      </c>
      <c r="N405" s="5">
        <v>0</v>
      </c>
      <c r="O405" s="8">
        <v>0</v>
      </c>
      <c r="P405" s="69">
        <v>102000</v>
      </c>
      <c r="Q405" s="69">
        <v>178000</v>
      </c>
      <c r="R405" s="69">
        <v>140000</v>
      </c>
      <c r="S405" s="62" t="s">
        <v>138</v>
      </c>
      <c r="T405" s="8">
        <f t="shared" si="18"/>
        <v>20</v>
      </c>
      <c r="U405" s="8">
        <v>0</v>
      </c>
      <c r="V405" s="8">
        <v>0</v>
      </c>
      <c r="W405" s="8">
        <v>0</v>
      </c>
      <c r="X405" s="8">
        <v>1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62" t="s">
        <v>829</v>
      </c>
      <c r="AL405" s="62" t="s">
        <v>50</v>
      </c>
      <c r="AM405" s="62" t="s">
        <v>108</v>
      </c>
      <c r="AN405" s="5"/>
      <c r="AO405" s="7"/>
    </row>
    <row r="406" spans="1:41" ht="15.75" customHeight="1" x14ac:dyDescent="0.25">
      <c r="A406" s="4">
        <v>405</v>
      </c>
      <c r="B406" s="5" t="s">
        <v>963</v>
      </c>
      <c r="C406" s="58">
        <v>0</v>
      </c>
      <c r="D406" s="61" t="s">
        <v>898</v>
      </c>
      <c r="E406" s="72" t="s">
        <v>134</v>
      </c>
      <c r="F406" s="62" t="s">
        <v>899</v>
      </c>
      <c r="G406" s="8">
        <v>500</v>
      </c>
      <c r="H406" s="8" t="s">
        <v>47</v>
      </c>
      <c r="I406" s="62" t="s">
        <v>44</v>
      </c>
      <c r="J406" s="62" t="s">
        <v>47</v>
      </c>
      <c r="K406" s="62" t="s">
        <v>47</v>
      </c>
      <c r="L406" s="62" t="s">
        <v>83</v>
      </c>
      <c r="M406" s="62" t="s">
        <v>47</v>
      </c>
      <c r="N406" s="5">
        <v>0</v>
      </c>
      <c r="O406" s="8">
        <v>1</v>
      </c>
      <c r="P406" s="69">
        <v>110000</v>
      </c>
      <c r="Q406" s="69">
        <v>130000</v>
      </c>
      <c r="R406" s="69">
        <v>120000</v>
      </c>
      <c r="S406" s="62" t="s">
        <v>138</v>
      </c>
      <c r="T406" s="8" t="s">
        <v>47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62" t="s">
        <v>107</v>
      </c>
      <c r="AL406" s="62" t="s">
        <v>169</v>
      </c>
      <c r="AM406" s="62" t="s">
        <v>108</v>
      </c>
      <c r="AN406" s="5"/>
      <c r="AO406" s="7"/>
    </row>
    <row r="407" spans="1:41" ht="15.75" customHeight="1" x14ac:dyDescent="0.25">
      <c r="A407" s="4">
        <v>406</v>
      </c>
      <c r="B407" s="5" t="s">
        <v>964</v>
      </c>
      <c r="C407" s="58">
        <v>3</v>
      </c>
      <c r="D407" s="61" t="s">
        <v>965</v>
      </c>
      <c r="E407" s="72" t="s">
        <v>315</v>
      </c>
      <c r="F407" s="62" t="s">
        <v>315</v>
      </c>
      <c r="G407" s="8" t="s">
        <v>120</v>
      </c>
      <c r="H407" s="8">
        <v>1983</v>
      </c>
      <c r="I407" s="62" t="s">
        <v>44</v>
      </c>
      <c r="J407" s="62" t="s">
        <v>161</v>
      </c>
      <c r="K407" s="62" t="s">
        <v>162</v>
      </c>
      <c r="L407" s="62" t="s">
        <v>194</v>
      </c>
      <c r="M407" s="62" t="s">
        <v>966</v>
      </c>
      <c r="N407" s="5">
        <v>0</v>
      </c>
      <c r="O407" s="8">
        <v>0</v>
      </c>
      <c r="P407" s="69">
        <v>48000</v>
      </c>
      <c r="Q407" s="69">
        <v>85000</v>
      </c>
      <c r="R407" s="69">
        <v>66500</v>
      </c>
      <c r="S407" s="62" t="s">
        <v>305</v>
      </c>
      <c r="T407" s="8">
        <f t="shared" ref="T407:T413" si="19">2023-H407</f>
        <v>40</v>
      </c>
      <c r="U407" s="8">
        <v>0</v>
      </c>
      <c r="V407" s="8">
        <v>0</v>
      </c>
      <c r="W407" s="8">
        <v>0</v>
      </c>
      <c r="X407" s="8">
        <v>1</v>
      </c>
      <c r="Y407" s="8">
        <v>1</v>
      </c>
      <c r="Z407" s="8">
        <v>1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1</v>
      </c>
      <c r="AG407" s="8">
        <v>0</v>
      </c>
      <c r="AH407" s="8">
        <v>0</v>
      </c>
      <c r="AI407" s="8">
        <v>0</v>
      </c>
      <c r="AJ407" s="8">
        <v>0</v>
      </c>
      <c r="AK407" s="62" t="s">
        <v>132</v>
      </c>
      <c r="AL407" s="62" t="s">
        <v>169</v>
      </c>
      <c r="AM407" s="62" t="s">
        <v>51</v>
      </c>
      <c r="AN407" s="5"/>
      <c r="AO407" s="7"/>
    </row>
    <row r="408" spans="1:41" ht="15.75" customHeight="1" x14ac:dyDescent="0.25">
      <c r="A408" s="4">
        <v>407</v>
      </c>
      <c r="B408" s="5" t="s">
        <v>967</v>
      </c>
      <c r="C408" s="58">
        <v>4.7</v>
      </c>
      <c r="D408" s="61" t="s">
        <v>968</v>
      </c>
      <c r="E408" s="72" t="s">
        <v>98</v>
      </c>
      <c r="F408" s="62" t="s">
        <v>462</v>
      </c>
      <c r="G408" s="8" t="s">
        <v>81</v>
      </c>
      <c r="H408" s="8">
        <v>2006</v>
      </c>
      <c r="I408" s="62" t="s">
        <v>44</v>
      </c>
      <c r="J408" s="62" t="s">
        <v>317</v>
      </c>
      <c r="K408" s="62" t="s">
        <v>65</v>
      </c>
      <c r="L408" s="62" t="s">
        <v>149</v>
      </c>
      <c r="M408" s="62" t="s">
        <v>47</v>
      </c>
      <c r="N408" s="5">
        <v>0</v>
      </c>
      <c r="O408" s="8">
        <v>0</v>
      </c>
      <c r="P408" s="69">
        <v>66000</v>
      </c>
      <c r="Q408" s="69">
        <v>123000</v>
      </c>
      <c r="R408" s="69">
        <v>94500</v>
      </c>
      <c r="S408" s="62" t="s">
        <v>102</v>
      </c>
      <c r="T408" s="8">
        <f t="shared" si="19"/>
        <v>17</v>
      </c>
      <c r="U408" s="8">
        <v>1</v>
      </c>
      <c r="V408" s="8">
        <v>0</v>
      </c>
      <c r="W408" s="8">
        <v>1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62" t="s">
        <v>146</v>
      </c>
      <c r="AL408" s="62" t="s">
        <v>169</v>
      </c>
      <c r="AM408" s="62" t="s">
        <v>77</v>
      </c>
      <c r="AN408" s="5"/>
      <c r="AO408" s="7"/>
    </row>
    <row r="409" spans="1:41" ht="15.75" customHeight="1" x14ac:dyDescent="0.25">
      <c r="A409" s="4">
        <v>408</v>
      </c>
      <c r="B409" s="5" t="s">
        <v>969</v>
      </c>
      <c r="C409" s="58">
        <v>3.8</v>
      </c>
      <c r="D409" s="61" t="s">
        <v>68</v>
      </c>
      <c r="E409" s="72" t="s">
        <v>99</v>
      </c>
      <c r="F409" s="62" t="s">
        <v>69</v>
      </c>
      <c r="G409" s="8" t="s">
        <v>70</v>
      </c>
      <c r="H409" s="8">
        <v>1965</v>
      </c>
      <c r="I409" s="62" t="s">
        <v>71</v>
      </c>
      <c r="J409" s="62" t="s">
        <v>72</v>
      </c>
      <c r="K409" s="62" t="s">
        <v>73</v>
      </c>
      <c r="L409" s="62" t="s">
        <v>74</v>
      </c>
      <c r="M409" s="62" t="s">
        <v>75</v>
      </c>
      <c r="N409" s="5">
        <v>0</v>
      </c>
      <c r="O409" s="8">
        <v>0</v>
      </c>
      <c r="P409" s="69">
        <v>92000</v>
      </c>
      <c r="Q409" s="69">
        <v>146000</v>
      </c>
      <c r="R409" s="69">
        <v>119000</v>
      </c>
      <c r="S409" s="62" t="s">
        <v>76</v>
      </c>
      <c r="T409" s="8">
        <f t="shared" si="19"/>
        <v>58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1</v>
      </c>
      <c r="AC409" s="8">
        <v>0</v>
      </c>
      <c r="AD409" s="8">
        <v>1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62" t="s">
        <v>49</v>
      </c>
      <c r="AL409" s="62" t="s">
        <v>169</v>
      </c>
      <c r="AM409" s="62" t="s">
        <v>51</v>
      </c>
      <c r="AN409" s="5"/>
      <c r="AO409" s="7"/>
    </row>
    <row r="410" spans="1:41" ht="15.75" customHeight="1" x14ac:dyDescent="0.25">
      <c r="A410" s="4">
        <v>409</v>
      </c>
      <c r="B410" s="5" t="s">
        <v>970</v>
      </c>
      <c r="C410" s="58">
        <v>3.2</v>
      </c>
      <c r="D410" s="61" t="s">
        <v>971</v>
      </c>
      <c r="E410" s="72" t="s">
        <v>253</v>
      </c>
      <c r="F410" s="62" t="s">
        <v>972</v>
      </c>
      <c r="G410" s="8" t="s">
        <v>56</v>
      </c>
      <c r="H410" s="8">
        <v>1996</v>
      </c>
      <c r="I410" s="62" t="s">
        <v>160</v>
      </c>
      <c r="J410" s="62" t="s">
        <v>58</v>
      </c>
      <c r="K410" s="62" t="s">
        <v>59</v>
      </c>
      <c r="L410" s="62" t="s">
        <v>128</v>
      </c>
      <c r="M410" s="62" t="s">
        <v>973</v>
      </c>
      <c r="N410" s="5">
        <v>1</v>
      </c>
      <c r="O410" s="8">
        <v>0</v>
      </c>
      <c r="P410" s="69">
        <v>43000</v>
      </c>
      <c r="Q410" s="69">
        <v>60000</v>
      </c>
      <c r="R410" s="69">
        <v>51500</v>
      </c>
      <c r="S410" s="62" t="s">
        <v>439</v>
      </c>
      <c r="T410" s="8">
        <f t="shared" si="19"/>
        <v>27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62" t="s">
        <v>107</v>
      </c>
      <c r="AL410" s="62" t="s">
        <v>50</v>
      </c>
      <c r="AM410" s="62" t="s">
        <v>77</v>
      </c>
      <c r="AN410" s="5"/>
      <c r="AO410" s="7"/>
    </row>
    <row r="411" spans="1:41" ht="15.75" customHeight="1" x14ac:dyDescent="0.25">
      <c r="A411" s="4">
        <v>410</v>
      </c>
      <c r="B411" s="5" t="s">
        <v>974</v>
      </c>
      <c r="C411" s="58">
        <v>2.7</v>
      </c>
      <c r="D411" s="61" t="s">
        <v>975</v>
      </c>
      <c r="E411" s="72" t="s">
        <v>717</v>
      </c>
      <c r="F411" s="62" t="s">
        <v>976</v>
      </c>
      <c r="G411" s="8" t="s">
        <v>120</v>
      </c>
      <c r="H411" s="8">
        <v>2000</v>
      </c>
      <c r="I411" s="62" t="s">
        <v>89</v>
      </c>
      <c r="J411" s="62" t="s">
        <v>298</v>
      </c>
      <c r="K411" s="62" t="s">
        <v>96</v>
      </c>
      <c r="L411" s="62" t="s">
        <v>60</v>
      </c>
      <c r="M411" s="62" t="s">
        <v>47</v>
      </c>
      <c r="N411" s="5">
        <v>1</v>
      </c>
      <c r="O411" s="8">
        <v>0</v>
      </c>
      <c r="P411" s="69">
        <v>20000</v>
      </c>
      <c r="Q411" s="69">
        <v>35000</v>
      </c>
      <c r="R411" s="69">
        <v>27500</v>
      </c>
      <c r="S411" s="62" t="s">
        <v>542</v>
      </c>
      <c r="T411" s="8">
        <f t="shared" si="19"/>
        <v>23</v>
      </c>
      <c r="U411" s="8">
        <v>0</v>
      </c>
      <c r="V411" s="8">
        <v>0</v>
      </c>
      <c r="W411" s="8">
        <v>0</v>
      </c>
      <c r="X411" s="8">
        <v>1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1</v>
      </c>
      <c r="AG411" s="8">
        <v>0</v>
      </c>
      <c r="AH411" s="8">
        <v>0</v>
      </c>
      <c r="AI411" s="8">
        <v>0</v>
      </c>
      <c r="AJ411" s="8">
        <v>0</v>
      </c>
      <c r="AK411" s="62" t="s">
        <v>132</v>
      </c>
      <c r="AL411" s="62" t="s">
        <v>169</v>
      </c>
      <c r="AM411" s="62" t="s">
        <v>77</v>
      </c>
      <c r="AN411" s="5"/>
      <c r="AO411" s="7"/>
    </row>
    <row r="412" spans="1:41" ht="15.75" customHeight="1" x14ac:dyDescent="0.25">
      <c r="A412" s="4">
        <v>411</v>
      </c>
      <c r="B412" s="5" t="s">
        <v>977</v>
      </c>
      <c r="C412" s="58">
        <v>3.3</v>
      </c>
      <c r="D412" s="61" t="s">
        <v>268</v>
      </c>
      <c r="E412" s="72" t="s">
        <v>172</v>
      </c>
      <c r="F412" s="62" t="s">
        <v>269</v>
      </c>
      <c r="G412" s="8" t="s">
        <v>56</v>
      </c>
      <c r="H412" s="8">
        <v>1912</v>
      </c>
      <c r="I412" s="62" t="s">
        <v>44</v>
      </c>
      <c r="J412" s="62" t="s">
        <v>161</v>
      </c>
      <c r="K412" s="62" t="s">
        <v>162</v>
      </c>
      <c r="L412" s="62" t="s">
        <v>128</v>
      </c>
      <c r="M412" s="62" t="s">
        <v>270</v>
      </c>
      <c r="N412" s="5">
        <v>0</v>
      </c>
      <c r="O412" s="8">
        <v>0</v>
      </c>
      <c r="P412" s="69">
        <v>150000</v>
      </c>
      <c r="Q412" s="69">
        <v>239000</v>
      </c>
      <c r="R412" s="69">
        <v>194500</v>
      </c>
      <c r="S412" s="62" t="s">
        <v>176</v>
      </c>
      <c r="T412" s="8">
        <f t="shared" si="19"/>
        <v>111</v>
      </c>
      <c r="U412" s="8">
        <v>1</v>
      </c>
      <c r="V412" s="8">
        <v>0</v>
      </c>
      <c r="W412" s="8">
        <v>0</v>
      </c>
      <c r="X412" s="8">
        <v>0</v>
      </c>
      <c r="Y412" s="8">
        <v>0</v>
      </c>
      <c r="Z412" s="8">
        <v>1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62" t="s">
        <v>49</v>
      </c>
      <c r="AL412" s="62" t="s">
        <v>50</v>
      </c>
      <c r="AM412" s="62" t="s">
        <v>108</v>
      </c>
      <c r="AN412" s="5"/>
      <c r="AO412" s="7"/>
    </row>
    <row r="413" spans="1:41" ht="15.75" customHeight="1" x14ac:dyDescent="0.25">
      <c r="A413" s="4">
        <v>412</v>
      </c>
      <c r="B413" s="5" t="s">
        <v>978</v>
      </c>
      <c r="C413" s="58">
        <v>3.9</v>
      </c>
      <c r="D413" s="61" t="s">
        <v>796</v>
      </c>
      <c r="E413" s="72" t="s">
        <v>797</v>
      </c>
      <c r="F413" s="62" t="s">
        <v>798</v>
      </c>
      <c r="G413" s="8" t="s">
        <v>70</v>
      </c>
      <c r="H413" s="8">
        <v>1947</v>
      </c>
      <c r="I413" s="62" t="s">
        <v>160</v>
      </c>
      <c r="J413" s="62" t="s">
        <v>121</v>
      </c>
      <c r="K413" s="62" t="s">
        <v>65</v>
      </c>
      <c r="L413" s="62" t="s">
        <v>74</v>
      </c>
      <c r="M413" s="62" t="s">
        <v>799</v>
      </c>
      <c r="N413" s="5">
        <v>0</v>
      </c>
      <c r="O413" s="8">
        <v>0</v>
      </c>
      <c r="P413" s="69">
        <v>52000</v>
      </c>
      <c r="Q413" s="69">
        <v>91000</v>
      </c>
      <c r="R413" s="69">
        <v>71500</v>
      </c>
      <c r="S413" s="62" t="s">
        <v>93</v>
      </c>
      <c r="T413" s="8">
        <f t="shared" si="19"/>
        <v>76</v>
      </c>
      <c r="U413" s="8">
        <v>1</v>
      </c>
      <c r="V413" s="8">
        <v>0</v>
      </c>
      <c r="W413" s="8">
        <v>1</v>
      </c>
      <c r="X413" s="8">
        <v>1</v>
      </c>
      <c r="Y413" s="8">
        <v>1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62" t="s">
        <v>107</v>
      </c>
      <c r="AL413" s="62" t="s">
        <v>169</v>
      </c>
      <c r="AM413" s="62" t="s">
        <v>77</v>
      </c>
      <c r="AN413" s="5"/>
      <c r="AO413" s="7"/>
    </row>
    <row r="414" spans="1:41" ht="15.75" customHeight="1" x14ac:dyDescent="0.25">
      <c r="A414" s="4">
        <v>413</v>
      </c>
      <c r="B414" s="5" t="s">
        <v>979</v>
      </c>
      <c r="C414" s="58">
        <v>3.7</v>
      </c>
      <c r="D414" s="61" t="s">
        <v>980</v>
      </c>
      <c r="E414" s="72" t="s">
        <v>732</v>
      </c>
      <c r="F414" s="62" t="s">
        <v>732</v>
      </c>
      <c r="G414" s="8" t="s">
        <v>43</v>
      </c>
      <c r="H414" s="8" t="s">
        <v>47</v>
      </c>
      <c r="I414" s="62" t="s">
        <v>531</v>
      </c>
      <c r="J414" s="62" t="s">
        <v>532</v>
      </c>
      <c r="K414" s="62" t="s">
        <v>415</v>
      </c>
      <c r="L414" s="62" t="s">
        <v>83</v>
      </c>
      <c r="M414" s="62" t="s">
        <v>47</v>
      </c>
      <c r="N414" s="5">
        <v>0</v>
      </c>
      <c r="O414" s="8">
        <v>0</v>
      </c>
      <c r="P414" s="69">
        <v>82000</v>
      </c>
      <c r="Q414" s="69">
        <v>129000</v>
      </c>
      <c r="R414" s="69">
        <v>105500</v>
      </c>
      <c r="S414" s="62" t="s">
        <v>93</v>
      </c>
      <c r="T414" s="8" t="s">
        <v>47</v>
      </c>
      <c r="U414" s="8">
        <v>1</v>
      </c>
      <c r="V414" s="8">
        <v>0</v>
      </c>
      <c r="W414" s="8">
        <v>1</v>
      </c>
      <c r="X414" s="8">
        <v>0</v>
      </c>
      <c r="Y414" s="8">
        <v>0</v>
      </c>
      <c r="Z414" s="8">
        <v>0</v>
      </c>
      <c r="AA414" s="8">
        <v>1</v>
      </c>
      <c r="AB414" s="8">
        <v>1</v>
      </c>
      <c r="AC414" s="8">
        <v>1</v>
      </c>
      <c r="AD414" s="8">
        <v>1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62" t="s">
        <v>49</v>
      </c>
      <c r="AL414" s="62" t="s">
        <v>50</v>
      </c>
      <c r="AM414" s="62" t="s">
        <v>77</v>
      </c>
      <c r="AN414" s="5"/>
      <c r="AO414" s="7"/>
    </row>
    <row r="415" spans="1:41" ht="15.75" customHeight="1" x14ac:dyDescent="0.25">
      <c r="A415" s="4">
        <v>414</v>
      </c>
      <c r="B415" s="5" t="s">
        <v>981</v>
      </c>
      <c r="C415" s="58">
        <v>3.1</v>
      </c>
      <c r="D415" s="61" t="s">
        <v>833</v>
      </c>
      <c r="E415" s="72" t="s">
        <v>871</v>
      </c>
      <c r="F415" s="62" t="s">
        <v>835</v>
      </c>
      <c r="G415" s="8" t="s">
        <v>120</v>
      </c>
      <c r="H415" s="8">
        <v>1875</v>
      </c>
      <c r="I415" s="62" t="s">
        <v>44</v>
      </c>
      <c r="J415" s="62" t="s">
        <v>499</v>
      </c>
      <c r="K415" s="62" t="s">
        <v>427</v>
      </c>
      <c r="L415" s="62" t="s">
        <v>128</v>
      </c>
      <c r="M415" s="62" t="s">
        <v>47</v>
      </c>
      <c r="N415" s="5">
        <v>0</v>
      </c>
      <c r="O415" s="8">
        <v>0</v>
      </c>
      <c r="P415" s="69">
        <v>47000</v>
      </c>
      <c r="Q415" s="69">
        <v>101000</v>
      </c>
      <c r="R415" s="69">
        <v>74000</v>
      </c>
      <c r="S415" s="62" t="s">
        <v>423</v>
      </c>
      <c r="T415" s="8">
        <f t="shared" ref="T415:T439" si="20">2023-H415</f>
        <v>148</v>
      </c>
      <c r="U415" s="8">
        <v>0</v>
      </c>
      <c r="V415" s="8">
        <v>0</v>
      </c>
      <c r="W415" s="8">
        <v>0</v>
      </c>
      <c r="X415" s="8">
        <v>1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62" t="s">
        <v>107</v>
      </c>
      <c r="AL415" s="62" t="s">
        <v>169</v>
      </c>
      <c r="AM415" s="62" t="s">
        <v>51</v>
      </c>
      <c r="AN415" s="5"/>
      <c r="AO415" s="7"/>
    </row>
    <row r="416" spans="1:41" ht="15.75" customHeight="1" x14ac:dyDescent="0.25">
      <c r="A416" s="4">
        <v>415</v>
      </c>
      <c r="B416" s="5" t="s">
        <v>982</v>
      </c>
      <c r="C416" s="58">
        <v>3.7</v>
      </c>
      <c r="D416" s="61" t="s">
        <v>983</v>
      </c>
      <c r="E416" s="72" t="s">
        <v>273</v>
      </c>
      <c r="F416" s="62" t="s">
        <v>782</v>
      </c>
      <c r="G416" s="8" t="s">
        <v>56</v>
      </c>
      <c r="H416" s="8">
        <v>1922</v>
      </c>
      <c r="I416" s="62" t="s">
        <v>89</v>
      </c>
      <c r="J416" s="62" t="s">
        <v>45</v>
      </c>
      <c r="K416" s="62" t="s">
        <v>45</v>
      </c>
      <c r="L416" s="62" t="s">
        <v>128</v>
      </c>
      <c r="M416" s="62" t="s">
        <v>47</v>
      </c>
      <c r="N416" s="5">
        <v>0</v>
      </c>
      <c r="O416" s="8">
        <v>0</v>
      </c>
      <c r="P416" s="69">
        <v>49000</v>
      </c>
      <c r="Q416" s="69">
        <v>76000</v>
      </c>
      <c r="R416" s="69">
        <v>62500</v>
      </c>
      <c r="S416" s="62" t="s">
        <v>274</v>
      </c>
      <c r="T416" s="8">
        <f t="shared" si="20"/>
        <v>101</v>
      </c>
      <c r="U416" s="8">
        <v>0</v>
      </c>
      <c r="V416" s="8">
        <v>0</v>
      </c>
      <c r="W416" s="8">
        <v>0</v>
      </c>
      <c r="X416" s="8">
        <v>1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62" t="s">
        <v>132</v>
      </c>
      <c r="AL416" s="62" t="s">
        <v>50</v>
      </c>
      <c r="AM416" s="62" t="s">
        <v>77</v>
      </c>
      <c r="AN416" s="5"/>
      <c r="AO416" s="7"/>
    </row>
    <row r="417" spans="1:41" ht="15.75" customHeight="1" x14ac:dyDescent="0.25">
      <c r="A417" s="4">
        <v>416</v>
      </c>
      <c r="B417" s="5" t="s">
        <v>984</v>
      </c>
      <c r="C417" s="58">
        <v>4.3</v>
      </c>
      <c r="D417" s="61" t="s">
        <v>985</v>
      </c>
      <c r="E417" s="72" t="s">
        <v>910</v>
      </c>
      <c r="F417" s="62" t="s">
        <v>986</v>
      </c>
      <c r="G417" s="8" t="s">
        <v>70</v>
      </c>
      <c r="H417" s="8">
        <v>1958</v>
      </c>
      <c r="I417" s="62" t="s">
        <v>160</v>
      </c>
      <c r="J417" s="62" t="s">
        <v>121</v>
      </c>
      <c r="K417" s="62" t="s">
        <v>65</v>
      </c>
      <c r="L417" s="62" t="s">
        <v>74</v>
      </c>
      <c r="M417" s="62" t="s">
        <v>987</v>
      </c>
      <c r="N417" s="5">
        <v>0</v>
      </c>
      <c r="O417" s="8">
        <v>0</v>
      </c>
      <c r="P417" s="69">
        <v>43000</v>
      </c>
      <c r="Q417" s="69">
        <v>88000</v>
      </c>
      <c r="R417" s="69">
        <v>65500</v>
      </c>
      <c r="S417" s="62" t="s">
        <v>423</v>
      </c>
      <c r="T417" s="8">
        <f t="shared" si="20"/>
        <v>65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62" t="s">
        <v>107</v>
      </c>
      <c r="AL417" s="62" t="s">
        <v>169</v>
      </c>
      <c r="AM417" s="62" t="s">
        <v>108</v>
      </c>
      <c r="AN417" s="5"/>
      <c r="AO417" s="7"/>
    </row>
    <row r="418" spans="1:41" ht="15.75" customHeight="1" x14ac:dyDescent="0.25">
      <c r="A418" s="4">
        <v>417</v>
      </c>
      <c r="B418" s="5" t="s">
        <v>988</v>
      </c>
      <c r="C418" s="58">
        <v>3.6</v>
      </c>
      <c r="D418" s="61" t="s">
        <v>989</v>
      </c>
      <c r="E418" s="72" t="s">
        <v>990</v>
      </c>
      <c r="F418" s="62" t="s">
        <v>991</v>
      </c>
      <c r="G418" s="8" t="s">
        <v>70</v>
      </c>
      <c r="H418" s="8">
        <v>1989</v>
      </c>
      <c r="I418" s="62" t="s">
        <v>44</v>
      </c>
      <c r="J418" s="62" t="s">
        <v>82</v>
      </c>
      <c r="K418" s="62" t="s">
        <v>65</v>
      </c>
      <c r="L418" s="62" t="s">
        <v>83</v>
      </c>
      <c r="M418" s="62" t="s">
        <v>47</v>
      </c>
      <c r="N418" s="5">
        <v>0</v>
      </c>
      <c r="O418" s="8">
        <v>0</v>
      </c>
      <c r="P418" s="69">
        <v>124000</v>
      </c>
      <c r="Q418" s="69">
        <v>199000</v>
      </c>
      <c r="R418" s="69">
        <v>161500</v>
      </c>
      <c r="S418" s="62" t="s">
        <v>145</v>
      </c>
      <c r="T418" s="8">
        <f t="shared" si="20"/>
        <v>34</v>
      </c>
      <c r="U418" s="8">
        <v>1</v>
      </c>
      <c r="V418" s="8">
        <v>0</v>
      </c>
      <c r="W418" s="8">
        <v>1</v>
      </c>
      <c r="X418" s="8">
        <v>1</v>
      </c>
      <c r="Y418" s="8">
        <v>1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1</v>
      </c>
      <c r="AG418" s="8">
        <v>1</v>
      </c>
      <c r="AH418" s="8">
        <v>0</v>
      </c>
      <c r="AI418" s="8">
        <v>0</v>
      </c>
      <c r="AJ418" s="8">
        <v>0</v>
      </c>
      <c r="AK418" s="62" t="s">
        <v>49</v>
      </c>
      <c r="AL418" s="62" t="s">
        <v>50</v>
      </c>
      <c r="AM418" s="62" t="s">
        <v>77</v>
      </c>
      <c r="AN418" s="5"/>
      <c r="AO418" s="7"/>
    </row>
    <row r="419" spans="1:41" ht="15.75" customHeight="1" x14ac:dyDescent="0.25">
      <c r="A419" s="4">
        <v>418</v>
      </c>
      <c r="B419" s="5" t="s">
        <v>992</v>
      </c>
      <c r="C419" s="58">
        <v>2.1</v>
      </c>
      <c r="D419" s="61" t="s">
        <v>993</v>
      </c>
      <c r="E419" s="72" t="s">
        <v>994</v>
      </c>
      <c r="F419" s="62" t="s">
        <v>995</v>
      </c>
      <c r="G419" s="8" t="s">
        <v>70</v>
      </c>
      <c r="H419" s="8">
        <v>2003</v>
      </c>
      <c r="I419" s="62" t="s">
        <v>57</v>
      </c>
      <c r="J419" s="62" t="s">
        <v>136</v>
      </c>
      <c r="K419" s="62" t="s">
        <v>136</v>
      </c>
      <c r="L419" s="62" t="s">
        <v>66</v>
      </c>
      <c r="M419" s="62" t="s">
        <v>996</v>
      </c>
      <c r="N419" s="5">
        <v>0</v>
      </c>
      <c r="O419" s="8">
        <v>0</v>
      </c>
      <c r="P419" s="69">
        <v>52000</v>
      </c>
      <c r="Q419" s="69">
        <v>93000</v>
      </c>
      <c r="R419" s="69">
        <v>72500</v>
      </c>
      <c r="S419" s="62" t="s">
        <v>305</v>
      </c>
      <c r="T419" s="8">
        <f t="shared" si="20"/>
        <v>20</v>
      </c>
      <c r="U419" s="8">
        <v>0</v>
      </c>
      <c r="V419" s="8">
        <v>0</v>
      </c>
      <c r="W419" s="8">
        <v>0</v>
      </c>
      <c r="X419" s="8">
        <v>1</v>
      </c>
      <c r="Y419" s="8">
        <v>1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1</v>
      </c>
      <c r="AG419" s="8">
        <v>0</v>
      </c>
      <c r="AH419" s="8">
        <v>0</v>
      </c>
      <c r="AI419" s="8">
        <v>0</v>
      </c>
      <c r="AJ419" s="8">
        <v>0</v>
      </c>
      <c r="AK419" s="62" t="s">
        <v>132</v>
      </c>
      <c r="AL419" s="62" t="s">
        <v>169</v>
      </c>
      <c r="AM419" s="62" t="s">
        <v>77</v>
      </c>
      <c r="AN419" s="5"/>
      <c r="AO419" s="7"/>
    </row>
    <row r="420" spans="1:41" ht="15.75" customHeight="1" x14ac:dyDescent="0.25">
      <c r="A420" s="4">
        <v>419</v>
      </c>
      <c r="B420" s="5" t="s">
        <v>464</v>
      </c>
      <c r="C420" s="58">
        <v>3.9</v>
      </c>
      <c r="D420" s="61" t="s">
        <v>997</v>
      </c>
      <c r="E420" s="72" t="s">
        <v>98</v>
      </c>
      <c r="F420" s="62" t="s">
        <v>114</v>
      </c>
      <c r="G420" s="8" t="s">
        <v>81</v>
      </c>
      <c r="H420" s="8">
        <v>2008</v>
      </c>
      <c r="I420" s="62" t="s">
        <v>89</v>
      </c>
      <c r="J420" s="62" t="s">
        <v>216</v>
      </c>
      <c r="K420" s="62" t="s">
        <v>111</v>
      </c>
      <c r="L420" s="62" t="s">
        <v>180</v>
      </c>
      <c r="M420" s="62" t="s">
        <v>47</v>
      </c>
      <c r="N420" s="5">
        <v>0</v>
      </c>
      <c r="O420" s="8">
        <v>0</v>
      </c>
      <c r="P420" s="69">
        <v>97000</v>
      </c>
      <c r="Q420" s="69">
        <v>181000</v>
      </c>
      <c r="R420" s="69">
        <v>139000</v>
      </c>
      <c r="S420" s="62" t="s">
        <v>102</v>
      </c>
      <c r="T420" s="8">
        <f t="shared" si="20"/>
        <v>15</v>
      </c>
      <c r="U420" s="8">
        <v>1</v>
      </c>
      <c r="V420" s="8">
        <v>0</v>
      </c>
      <c r="W420" s="8">
        <v>1</v>
      </c>
      <c r="X420" s="8">
        <v>1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62" t="s">
        <v>146</v>
      </c>
      <c r="AL420" s="62" t="s">
        <v>169</v>
      </c>
      <c r="AM420" s="62" t="s">
        <v>77</v>
      </c>
      <c r="AN420" s="5"/>
      <c r="AO420" s="7"/>
    </row>
    <row r="421" spans="1:41" ht="15.75" customHeight="1" x14ac:dyDescent="0.25">
      <c r="A421" s="4">
        <v>420</v>
      </c>
      <c r="B421" s="5" t="s">
        <v>464</v>
      </c>
      <c r="C421" s="58">
        <v>3.9</v>
      </c>
      <c r="D421" s="61" t="s">
        <v>638</v>
      </c>
      <c r="E421" s="72" t="s">
        <v>98</v>
      </c>
      <c r="F421" s="62" t="s">
        <v>114</v>
      </c>
      <c r="G421" s="8" t="s">
        <v>88</v>
      </c>
      <c r="H421" s="8">
        <v>2007</v>
      </c>
      <c r="I421" s="62" t="s">
        <v>44</v>
      </c>
      <c r="J421" s="62" t="s">
        <v>110</v>
      </c>
      <c r="K421" s="62" t="s">
        <v>111</v>
      </c>
      <c r="L421" s="62" t="s">
        <v>180</v>
      </c>
      <c r="M421" s="62" t="s">
        <v>639</v>
      </c>
      <c r="N421" s="5">
        <v>0</v>
      </c>
      <c r="O421" s="8">
        <v>0</v>
      </c>
      <c r="P421" s="69">
        <v>100000</v>
      </c>
      <c r="Q421" s="69">
        <v>173000</v>
      </c>
      <c r="R421" s="69">
        <v>136500</v>
      </c>
      <c r="S421" s="62" t="s">
        <v>102</v>
      </c>
      <c r="T421" s="8">
        <f t="shared" si="20"/>
        <v>16</v>
      </c>
      <c r="U421" s="8">
        <v>0</v>
      </c>
      <c r="V421" s="8">
        <v>0</v>
      </c>
      <c r="W421" s="8">
        <v>0</v>
      </c>
      <c r="X421" s="8">
        <v>0</v>
      </c>
      <c r="Y421" s="8">
        <v>1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62" t="s">
        <v>146</v>
      </c>
      <c r="AL421" s="62" t="s">
        <v>169</v>
      </c>
      <c r="AM421" s="62" t="s">
        <v>77</v>
      </c>
      <c r="AN421" s="5"/>
      <c r="AO421" s="7"/>
    </row>
    <row r="422" spans="1:41" ht="15.75" customHeight="1" x14ac:dyDescent="0.25">
      <c r="A422" s="4">
        <v>421</v>
      </c>
      <c r="B422" s="5" t="s">
        <v>998</v>
      </c>
      <c r="C422" s="58">
        <v>3.8</v>
      </c>
      <c r="D422" s="61" t="s">
        <v>685</v>
      </c>
      <c r="E422" s="72" t="s">
        <v>79</v>
      </c>
      <c r="F422" s="62" t="s">
        <v>80</v>
      </c>
      <c r="G422" s="8" t="s">
        <v>70</v>
      </c>
      <c r="H422" s="8">
        <v>2002</v>
      </c>
      <c r="I422" s="62" t="s">
        <v>44</v>
      </c>
      <c r="J422" s="62" t="s">
        <v>517</v>
      </c>
      <c r="K422" s="62" t="s">
        <v>518</v>
      </c>
      <c r="L422" s="62" t="s">
        <v>60</v>
      </c>
      <c r="M422" s="62" t="s">
        <v>686</v>
      </c>
      <c r="N422" s="5">
        <v>0</v>
      </c>
      <c r="O422" s="8">
        <v>0</v>
      </c>
      <c r="P422" s="69">
        <v>53000</v>
      </c>
      <c r="Q422" s="69">
        <v>96000</v>
      </c>
      <c r="R422" s="69">
        <v>74500</v>
      </c>
      <c r="S422" s="62" t="s">
        <v>85</v>
      </c>
      <c r="T422" s="8">
        <f t="shared" si="20"/>
        <v>21</v>
      </c>
      <c r="U422" s="8">
        <v>1</v>
      </c>
      <c r="V422" s="8">
        <v>1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62" t="s">
        <v>49</v>
      </c>
      <c r="AL422" s="62" t="s">
        <v>50</v>
      </c>
      <c r="AM422" s="62" t="s">
        <v>77</v>
      </c>
      <c r="AN422" s="5"/>
      <c r="AO422" s="7"/>
    </row>
    <row r="423" spans="1:41" ht="15.75" customHeight="1" x14ac:dyDescent="0.25">
      <c r="A423" s="4">
        <v>422</v>
      </c>
      <c r="B423" s="5" t="s">
        <v>999</v>
      </c>
      <c r="C423" s="58">
        <v>3.1</v>
      </c>
      <c r="D423" s="61" t="s">
        <v>833</v>
      </c>
      <c r="E423" s="72" t="s">
        <v>871</v>
      </c>
      <c r="F423" s="62" t="s">
        <v>835</v>
      </c>
      <c r="G423" s="8" t="s">
        <v>120</v>
      </c>
      <c r="H423" s="8">
        <v>1875</v>
      </c>
      <c r="I423" s="62" t="s">
        <v>44</v>
      </c>
      <c r="J423" s="62" t="s">
        <v>499</v>
      </c>
      <c r="K423" s="62" t="s">
        <v>427</v>
      </c>
      <c r="L423" s="62" t="s">
        <v>128</v>
      </c>
      <c r="M423" s="62" t="s">
        <v>47</v>
      </c>
      <c r="N423" s="5">
        <v>0</v>
      </c>
      <c r="O423" s="8">
        <v>0</v>
      </c>
      <c r="P423" s="69">
        <v>65000</v>
      </c>
      <c r="Q423" s="69">
        <v>96000</v>
      </c>
      <c r="R423" s="69">
        <v>80500</v>
      </c>
      <c r="S423" s="62" t="s">
        <v>423</v>
      </c>
      <c r="T423" s="8">
        <f t="shared" si="20"/>
        <v>148</v>
      </c>
      <c r="U423" s="8">
        <v>0</v>
      </c>
      <c r="V423" s="8">
        <v>0</v>
      </c>
      <c r="W423" s="8">
        <v>0</v>
      </c>
      <c r="X423" s="8">
        <v>1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62" t="s">
        <v>107</v>
      </c>
      <c r="AL423" s="62" t="s">
        <v>169</v>
      </c>
      <c r="AM423" s="62" t="s">
        <v>51</v>
      </c>
      <c r="AN423" s="5"/>
      <c r="AO423" s="7"/>
    </row>
    <row r="424" spans="1:41" ht="15.75" customHeight="1" x14ac:dyDescent="0.25">
      <c r="A424" s="4">
        <v>423</v>
      </c>
      <c r="B424" s="5" t="s">
        <v>39</v>
      </c>
      <c r="C424" s="58">
        <v>3.5</v>
      </c>
      <c r="D424" s="61" t="s">
        <v>221</v>
      </c>
      <c r="E424" s="72" t="s">
        <v>41</v>
      </c>
      <c r="F424" s="62" t="s">
        <v>223</v>
      </c>
      <c r="G424" s="8" t="s">
        <v>120</v>
      </c>
      <c r="H424" s="8">
        <v>1870</v>
      </c>
      <c r="I424" s="62" t="s">
        <v>89</v>
      </c>
      <c r="J424" s="62" t="s">
        <v>136</v>
      </c>
      <c r="K424" s="62" t="s">
        <v>136</v>
      </c>
      <c r="L424" s="62" t="s">
        <v>91</v>
      </c>
      <c r="M424" s="62" t="s">
        <v>47</v>
      </c>
      <c r="N424" s="5">
        <v>0</v>
      </c>
      <c r="O424" s="8">
        <v>0</v>
      </c>
      <c r="P424" s="69">
        <v>56000</v>
      </c>
      <c r="Q424" s="69">
        <v>95000</v>
      </c>
      <c r="R424" s="69">
        <v>75500</v>
      </c>
      <c r="S424" s="62" t="s">
        <v>48</v>
      </c>
      <c r="T424" s="8">
        <f t="shared" si="20"/>
        <v>153</v>
      </c>
      <c r="U424" s="8">
        <v>1</v>
      </c>
      <c r="V424" s="8">
        <v>0</v>
      </c>
      <c r="W424" s="8">
        <v>0</v>
      </c>
      <c r="X424" s="8">
        <v>1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62" t="s">
        <v>49</v>
      </c>
      <c r="AL424" s="62" t="s">
        <v>50</v>
      </c>
      <c r="AM424" s="62" t="s">
        <v>51</v>
      </c>
      <c r="AN424" s="5"/>
      <c r="AO424" s="7"/>
    </row>
    <row r="425" spans="1:41" ht="15.75" customHeight="1" x14ac:dyDescent="0.25">
      <c r="A425" s="4">
        <v>424</v>
      </c>
      <c r="B425" s="5" t="s">
        <v>39</v>
      </c>
      <c r="C425" s="58">
        <v>4.7</v>
      </c>
      <c r="D425" s="61" t="s">
        <v>284</v>
      </c>
      <c r="E425" s="72" t="s">
        <v>285</v>
      </c>
      <c r="F425" s="62" t="s">
        <v>286</v>
      </c>
      <c r="G425" s="8" t="s">
        <v>81</v>
      </c>
      <c r="H425" s="8">
        <v>2016</v>
      </c>
      <c r="I425" s="62" t="s">
        <v>44</v>
      </c>
      <c r="J425" s="62" t="s">
        <v>213</v>
      </c>
      <c r="K425" s="62" t="s">
        <v>111</v>
      </c>
      <c r="L425" s="62" t="s">
        <v>83</v>
      </c>
      <c r="M425" s="62" t="s">
        <v>287</v>
      </c>
      <c r="N425" s="5">
        <v>0</v>
      </c>
      <c r="O425" s="8">
        <v>0</v>
      </c>
      <c r="P425" s="69">
        <v>111000</v>
      </c>
      <c r="Q425" s="69">
        <v>176000</v>
      </c>
      <c r="R425" s="69">
        <v>143500</v>
      </c>
      <c r="S425" s="62" t="s">
        <v>288</v>
      </c>
      <c r="T425" s="8">
        <f t="shared" si="20"/>
        <v>7</v>
      </c>
      <c r="U425" s="8">
        <v>1</v>
      </c>
      <c r="V425" s="8">
        <v>1</v>
      </c>
      <c r="W425" s="8">
        <v>0</v>
      </c>
      <c r="X425" s="8">
        <v>0</v>
      </c>
      <c r="Y425" s="8">
        <v>1</v>
      </c>
      <c r="Z425" s="8">
        <v>0</v>
      </c>
      <c r="AA425" s="8">
        <v>1</v>
      </c>
      <c r="AB425" s="8">
        <v>0</v>
      </c>
      <c r="AC425" s="8">
        <v>1</v>
      </c>
      <c r="AD425" s="8">
        <v>1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62" t="s">
        <v>49</v>
      </c>
      <c r="AL425" s="62" t="s">
        <v>50</v>
      </c>
      <c r="AM425" s="62" t="s">
        <v>77</v>
      </c>
      <c r="AN425" s="5"/>
      <c r="AO425" s="7"/>
    </row>
    <row r="426" spans="1:41" ht="15.75" customHeight="1" x14ac:dyDescent="0.25">
      <c r="A426" s="4">
        <v>425</v>
      </c>
      <c r="B426" s="5" t="s">
        <v>39</v>
      </c>
      <c r="C426" s="58">
        <v>5</v>
      </c>
      <c r="D426" s="61" t="s">
        <v>1000</v>
      </c>
      <c r="E426" s="72" t="s">
        <v>1001</v>
      </c>
      <c r="F426" s="62" t="s">
        <v>364</v>
      </c>
      <c r="G426" s="8" t="s">
        <v>81</v>
      </c>
      <c r="H426" s="8">
        <v>2014</v>
      </c>
      <c r="I426" s="62" t="s">
        <v>44</v>
      </c>
      <c r="J426" s="62" t="s">
        <v>45</v>
      </c>
      <c r="K426" s="62" t="s">
        <v>45</v>
      </c>
      <c r="L426" s="62" t="s">
        <v>180</v>
      </c>
      <c r="M426" s="62" t="s">
        <v>47</v>
      </c>
      <c r="N426" s="5">
        <v>0</v>
      </c>
      <c r="O426" s="8">
        <v>0</v>
      </c>
      <c r="P426" s="69">
        <v>75000</v>
      </c>
      <c r="Q426" s="69">
        <v>127000</v>
      </c>
      <c r="R426" s="69">
        <v>101000</v>
      </c>
      <c r="S426" s="62" t="s">
        <v>122</v>
      </c>
      <c r="T426" s="8">
        <f t="shared" si="20"/>
        <v>9</v>
      </c>
      <c r="U426" s="8">
        <v>1</v>
      </c>
      <c r="V426" s="8">
        <v>0</v>
      </c>
      <c r="W426" s="8">
        <v>0</v>
      </c>
      <c r="X426" s="8">
        <v>0</v>
      </c>
      <c r="Y426" s="8">
        <v>1</v>
      </c>
      <c r="Z426" s="8">
        <v>1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62" t="s">
        <v>49</v>
      </c>
      <c r="AL426" s="62" t="s">
        <v>50</v>
      </c>
      <c r="AM426" s="62" t="s">
        <v>77</v>
      </c>
      <c r="AN426" s="5"/>
      <c r="AO426" s="7"/>
    </row>
    <row r="427" spans="1:41" ht="15.75" customHeight="1" x14ac:dyDescent="0.25">
      <c r="A427" s="4">
        <v>426</v>
      </c>
      <c r="B427" s="5" t="s">
        <v>224</v>
      </c>
      <c r="C427" s="58">
        <v>3.6</v>
      </c>
      <c r="D427" s="61" t="s">
        <v>550</v>
      </c>
      <c r="E427" s="72" t="s">
        <v>551</v>
      </c>
      <c r="F427" s="62" t="s">
        <v>551</v>
      </c>
      <c r="G427" s="8" t="s">
        <v>120</v>
      </c>
      <c r="H427" s="8">
        <v>1851</v>
      </c>
      <c r="I427" s="62" t="s">
        <v>44</v>
      </c>
      <c r="J427" s="62" t="s">
        <v>161</v>
      </c>
      <c r="K427" s="62" t="s">
        <v>162</v>
      </c>
      <c r="L427" s="62" t="s">
        <v>128</v>
      </c>
      <c r="M427" s="62" t="s">
        <v>47</v>
      </c>
      <c r="N427" s="5">
        <v>0</v>
      </c>
      <c r="O427" s="8">
        <v>0</v>
      </c>
      <c r="P427" s="69">
        <v>65000</v>
      </c>
      <c r="Q427" s="69">
        <v>119000</v>
      </c>
      <c r="R427" s="69">
        <v>92000</v>
      </c>
      <c r="S427" s="62" t="s">
        <v>138</v>
      </c>
      <c r="T427" s="8">
        <f t="shared" si="20"/>
        <v>172</v>
      </c>
      <c r="U427" s="8">
        <v>1</v>
      </c>
      <c r="V427" s="8">
        <v>1</v>
      </c>
      <c r="W427" s="8">
        <v>0</v>
      </c>
      <c r="X427" s="8">
        <v>1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62" t="s">
        <v>146</v>
      </c>
      <c r="AL427" s="62" t="s">
        <v>50</v>
      </c>
      <c r="AM427" s="62" t="s">
        <v>77</v>
      </c>
      <c r="AN427" s="5"/>
      <c r="AO427" s="7"/>
    </row>
    <row r="428" spans="1:41" ht="15.75" customHeight="1" x14ac:dyDescent="0.25">
      <c r="A428" s="4">
        <v>427</v>
      </c>
      <c r="B428" s="5" t="s">
        <v>807</v>
      </c>
      <c r="C428" s="58">
        <v>3.8</v>
      </c>
      <c r="D428" s="61" t="s">
        <v>68</v>
      </c>
      <c r="E428" s="72" t="s">
        <v>69</v>
      </c>
      <c r="F428" s="62" t="s">
        <v>69</v>
      </c>
      <c r="G428" s="8" t="s">
        <v>70</v>
      </c>
      <c r="H428" s="8">
        <v>1965</v>
      </c>
      <c r="I428" s="62" t="s">
        <v>71</v>
      </c>
      <c r="J428" s="62" t="s">
        <v>72</v>
      </c>
      <c r="K428" s="62" t="s">
        <v>73</v>
      </c>
      <c r="L428" s="62" t="s">
        <v>74</v>
      </c>
      <c r="M428" s="62" t="s">
        <v>75</v>
      </c>
      <c r="N428" s="5">
        <v>0</v>
      </c>
      <c r="O428" s="8">
        <v>0</v>
      </c>
      <c r="P428" s="69">
        <v>56000</v>
      </c>
      <c r="Q428" s="69">
        <v>97000</v>
      </c>
      <c r="R428" s="69">
        <v>76500</v>
      </c>
      <c r="S428" s="62" t="s">
        <v>76</v>
      </c>
      <c r="T428" s="8">
        <f t="shared" si="20"/>
        <v>58</v>
      </c>
      <c r="U428" s="8">
        <v>1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62" t="s">
        <v>49</v>
      </c>
      <c r="AL428" s="62" t="s">
        <v>50</v>
      </c>
      <c r="AM428" s="62" t="s">
        <v>108</v>
      </c>
      <c r="AN428" s="5"/>
      <c r="AO428" s="7"/>
    </row>
    <row r="429" spans="1:41" ht="15.75" customHeight="1" x14ac:dyDescent="0.25">
      <c r="A429" s="4">
        <v>428</v>
      </c>
      <c r="B429" s="5" t="s">
        <v>626</v>
      </c>
      <c r="C429" s="58">
        <v>4.7</v>
      </c>
      <c r="D429" s="61" t="s">
        <v>627</v>
      </c>
      <c r="E429" s="72" t="s">
        <v>628</v>
      </c>
      <c r="F429" s="62" t="s">
        <v>522</v>
      </c>
      <c r="G429" s="8" t="s">
        <v>81</v>
      </c>
      <c r="H429" s="8">
        <v>2013</v>
      </c>
      <c r="I429" s="62" t="s">
        <v>44</v>
      </c>
      <c r="J429" s="62" t="s">
        <v>136</v>
      </c>
      <c r="K429" s="62" t="s">
        <v>136</v>
      </c>
      <c r="L429" s="62" t="s">
        <v>149</v>
      </c>
      <c r="M429" s="62" t="s">
        <v>47</v>
      </c>
      <c r="N429" s="5">
        <v>0</v>
      </c>
      <c r="O429" s="8">
        <v>0</v>
      </c>
      <c r="P429" s="69">
        <v>108000</v>
      </c>
      <c r="Q429" s="69">
        <v>173000</v>
      </c>
      <c r="R429" s="69">
        <v>140500</v>
      </c>
      <c r="S429" s="62" t="s">
        <v>525</v>
      </c>
      <c r="T429" s="8">
        <f t="shared" si="20"/>
        <v>10</v>
      </c>
      <c r="U429" s="8">
        <v>1</v>
      </c>
      <c r="V429" s="8">
        <v>0</v>
      </c>
      <c r="W429" s="8">
        <v>1</v>
      </c>
      <c r="X429" s="8">
        <v>0</v>
      </c>
      <c r="Y429" s="8">
        <v>0</v>
      </c>
      <c r="Z429" s="8">
        <v>0</v>
      </c>
      <c r="AA429" s="8">
        <v>1</v>
      </c>
      <c r="AB429" s="8">
        <v>1</v>
      </c>
      <c r="AC429" s="8">
        <v>1</v>
      </c>
      <c r="AD429" s="8">
        <v>1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62" t="s">
        <v>49</v>
      </c>
      <c r="AL429" s="62" t="s">
        <v>169</v>
      </c>
      <c r="AM429" s="62" t="s">
        <v>77</v>
      </c>
      <c r="AN429" s="5"/>
      <c r="AO429" s="7"/>
    </row>
    <row r="430" spans="1:41" ht="15.75" customHeight="1" x14ac:dyDescent="0.25">
      <c r="A430" s="4">
        <v>429</v>
      </c>
      <c r="B430" s="5" t="s">
        <v>39</v>
      </c>
      <c r="C430" s="58">
        <v>3.6</v>
      </c>
      <c r="D430" s="61" t="s">
        <v>1002</v>
      </c>
      <c r="E430" s="72" t="s">
        <v>1003</v>
      </c>
      <c r="F430" s="62" t="s">
        <v>80</v>
      </c>
      <c r="G430" s="8" t="s">
        <v>56</v>
      </c>
      <c r="H430" s="8">
        <v>1812</v>
      </c>
      <c r="I430" s="62" t="s">
        <v>89</v>
      </c>
      <c r="J430" s="62" t="s">
        <v>577</v>
      </c>
      <c r="K430" s="62" t="s">
        <v>96</v>
      </c>
      <c r="L430" s="62" t="s">
        <v>128</v>
      </c>
      <c r="M430" s="62" t="s">
        <v>47</v>
      </c>
      <c r="N430" s="5">
        <v>0</v>
      </c>
      <c r="O430" s="8">
        <v>0</v>
      </c>
      <c r="P430" s="69">
        <v>94000</v>
      </c>
      <c r="Q430" s="69">
        <v>139000</v>
      </c>
      <c r="R430" s="69">
        <v>116500</v>
      </c>
      <c r="S430" s="62" t="s">
        <v>145</v>
      </c>
      <c r="T430" s="8">
        <f t="shared" si="20"/>
        <v>211</v>
      </c>
      <c r="U430" s="8">
        <v>0</v>
      </c>
      <c r="V430" s="8">
        <v>0</v>
      </c>
      <c r="W430" s="8">
        <v>0</v>
      </c>
      <c r="X430" s="8">
        <v>1</v>
      </c>
      <c r="Y430" s="8">
        <v>1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62" t="s">
        <v>49</v>
      </c>
      <c r="AL430" s="62" t="s">
        <v>50</v>
      </c>
      <c r="AM430" s="62" t="s">
        <v>77</v>
      </c>
      <c r="AN430" s="5"/>
      <c r="AO430" s="7"/>
    </row>
    <row r="431" spans="1:41" ht="15.75" customHeight="1" x14ac:dyDescent="0.25">
      <c r="A431" s="4">
        <v>430</v>
      </c>
      <c r="B431" s="5" t="s">
        <v>1004</v>
      </c>
      <c r="C431" s="58">
        <v>4.7</v>
      </c>
      <c r="D431" s="61" t="s">
        <v>1005</v>
      </c>
      <c r="E431" s="72" t="s">
        <v>98</v>
      </c>
      <c r="F431" s="62" t="s">
        <v>189</v>
      </c>
      <c r="G431" s="8" t="s">
        <v>43</v>
      </c>
      <c r="H431" s="8">
        <v>1999</v>
      </c>
      <c r="I431" s="62" t="s">
        <v>142</v>
      </c>
      <c r="J431" s="62" t="s">
        <v>216</v>
      </c>
      <c r="K431" s="62" t="s">
        <v>111</v>
      </c>
      <c r="L431" s="62" t="s">
        <v>83</v>
      </c>
      <c r="M431" s="62" t="s">
        <v>47</v>
      </c>
      <c r="N431" s="5">
        <v>0</v>
      </c>
      <c r="O431" s="8">
        <v>0</v>
      </c>
      <c r="P431" s="69">
        <v>176000</v>
      </c>
      <c r="Q431" s="69">
        <v>289000</v>
      </c>
      <c r="R431" s="69">
        <v>232500</v>
      </c>
      <c r="S431" s="62" t="s">
        <v>102</v>
      </c>
      <c r="T431" s="8">
        <f t="shared" si="20"/>
        <v>24</v>
      </c>
      <c r="U431" s="8">
        <v>1</v>
      </c>
      <c r="V431" s="8">
        <v>0</v>
      </c>
      <c r="W431" s="8">
        <v>0</v>
      </c>
      <c r="X431" s="8">
        <v>0</v>
      </c>
      <c r="Y431" s="8">
        <v>1</v>
      </c>
      <c r="Z431" s="8">
        <v>0</v>
      </c>
      <c r="AA431" s="8">
        <v>0</v>
      </c>
      <c r="AB431" s="8">
        <v>0</v>
      </c>
      <c r="AC431" s="8">
        <v>1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62" t="s">
        <v>508</v>
      </c>
      <c r="AL431" s="62" t="s">
        <v>169</v>
      </c>
      <c r="AM431" s="62" t="s">
        <v>108</v>
      </c>
      <c r="AN431" s="5"/>
      <c r="AO431" s="7"/>
    </row>
    <row r="432" spans="1:41" ht="15.75" customHeight="1" x14ac:dyDescent="0.25">
      <c r="A432" s="4">
        <v>431</v>
      </c>
      <c r="B432" s="5" t="s">
        <v>39</v>
      </c>
      <c r="C432" s="58">
        <v>3.5</v>
      </c>
      <c r="D432" s="61" t="s">
        <v>1006</v>
      </c>
      <c r="E432" s="72" t="s">
        <v>98</v>
      </c>
      <c r="F432" s="62" t="s">
        <v>114</v>
      </c>
      <c r="G432" s="8" t="s">
        <v>81</v>
      </c>
      <c r="H432" s="8">
        <v>2016</v>
      </c>
      <c r="I432" s="62" t="s">
        <v>44</v>
      </c>
      <c r="J432" s="62" t="s">
        <v>155</v>
      </c>
      <c r="K432" s="62" t="s">
        <v>111</v>
      </c>
      <c r="L432" s="62" t="s">
        <v>83</v>
      </c>
      <c r="M432" s="62" t="s">
        <v>47</v>
      </c>
      <c r="N432" s="5">
        <v>0</v>
      </c>
      <c r="O432" s="8">
        <v>0</v>
      </c>
      <c r="P432" s="69">
        <v>92000</v>
      </c>
      <c r="Q432" s="69">
        <v>149000</v>
      </c>
      <c r="R432" s="69">
        <v>120500</v>
      </c>
      <c r="S432" s="62" t="s">
        <v>102</v>
      </c>
      <c r="T432" s="8">
        <f t="shared" si="20"/>
        <v>7</v>
      </c>
      <c r="U432" s="8">
        <v>1</v>
      </c>
      <c r="V432" s="8">
        <v>0</v>
      </c>
      <c r="W432" s="8">
        <v>0</v>
      </c>
      <c r="X432" s="8">
        <v>0</v>
      </c>
      <c r="Y432" s="8">
        <v>1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62" t="s">
        <v>49</v>
      </c>
      <c r="AL432" s="62" t="s">
        <v>50</v>
      </c>
      <c r="AM432" s="62" t="s">
        <v>108</v>
      </c>
      <c r="AN432" s="5"/>
      <c r="AO432" s="7"/>
    </row>
    <row r="433" spans="1:41" ht="15.75" customHeight="1" x14ac:dyDescent="0.25">
      <c r="A433" s="4">
        <v>432</v>
      </c>
      <c r="B433" s="5" t="s">
        <v>808</v>
      </c>
      <c r="C433" s="58">
        <v>3.5</v>
      </c>
      <c r="D433" s="61" t="s">
        <v>214</v>
      </c>
      <c r="E433" s="72" t="s">
        <v>364</v>
      </c>
      <c r="F433" s="62" t="s">
        <v>215</v>
      </c>
      <c r="G433" s="8" t="s">
        <v>70</v>
      </c>
      <c r="H433" s="8">
        <v>1969</v>
      </c>
      <c r="I433" s="62" t="s">
        <v>44</v>
      </c>
      <c r="J433" s="62" t="s">
        <v>216</v>
      </c>
      <c r="K433" s="62" t="s">
        <v>111</v>
      </c>
      <c r="L433" s="62" t="s">
        <v>91</v>
      </c>
      <c r="M433" s="62" t="s">
        <v>217</v>
      </c>
      <c r="N433" s="5">
        <v>0</v>
      </c>
      <c r="O433" s="8">
        <v>0</v>
      </c>
      <c r="P433" s="69">
        <v>63000</v>
      </c>
      <c r="Q433" s="69">
        <v>101000</v>
      </c>
      <c r="R433" s="69">
        <v>82000</v>
      </c>
      <c r="S433" s="62" t="s">
        <v>122</v>
      </c>
      <c r="T433" s="8">
        <f t="shared" si="20"/>
        <v>54</v>
      </c>
      <c r="U433" s="8">
        <v>1</v>
      </c>
      <c r="V433" s="8">
        <v>0</v>
      </c>
      <c r="W433" s="8">
        <v>0</v>
      </c>
      <c r="X433" s="8">
        <v>0</v>
      </c>
      <c r="Y433" s="8">
        <v>1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62" t="s">
        <v>49</v>
      </c>
      <c r="AL433" s="62" t="s">
        <v>50</v>
      </c>
      <c r="AM433" s="62" t="s">
        <v>51</v>
      </c>
      <c r="AN433" s="5"/>
      <c r="AO433" s="7"/>
    </row>
    <row r="434" spans="1:41" ht="15.75" customHeight="1" x14ac:dyDescent="0.25">
      <c r="A434" s="4">
        <v>433</v>
      </c>
      <c r="B434" s="5" t="s">
        <v>631</v>
      </c>
      <c r="C434" s="58">
        <v>3.3</v>
      </c>
      <c r="D434" s="61" t="s">
        <v>104</v>
      </c>
      <c r="E434" s="72" t="s">
        <v>105</v>
      </c>
      <c r="F434" s="62" t="s">
        <v>105</v>
      </c>
      <c r="G434" s="8" t="s">
        <v>56</v>
      </c>
      <c r="H434" s="8">
        <v>2014</v>
      </c>
      <c r="I434" s="62" t="s">
        <v>106</v>
      </c>
      <c r="J434" s="62" t="s">
        <v>58</v>
      </c>
      <c r="K434" s="62" t="s">
        <v>59</v>
      </c>
      <c r="L434" s="62" t="s">
        <v>74</v>
      </c>
      <c r="M434" s="62" t="s">
        <v>47</v>
      </c>
      <c r="N434" s="5">
        <v>0</v>
      </c>
      <c r="O434" s="8">
        <v>0</v>
      </c>
      <c r="P434" s="69">
        <v>54000</v>
      </c>
      <c r="Q434" s="69">
        <v>115000</v>
      </c>
      <c r="R434" s="69">
        <v>84500</v>
      </c>
      <c r="S434" s="62" t="s">
        <v>85</v>
      </c>
      <c r="T434" s="8">
        <f t="shared" si="20"/>
        <v>9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62" t="s">
        <v>107</v>
      </c>
      <c r="AL434" s="62" t="s">
        <v>169</v>
      </c>
      <c r="AM434" s="62" t="s">
        <v>108</v>
      </c>
      <c r="AN434" s="5"/>
      <c r="AO434" s="7"/>
    </row>
    <row r="435" spans="1:41" ht="15.75" customHeight="1" x14ac:dyDescent="0.25">
      <c r="A435" s="4">
        <v>434</v>
      </c>
      <c r="B435" s="5" t="s">
        <v>39</v>
      </c>
      <c r="C435" s="58">
        <v>2.7</v>
      </c>
      <c r="D435" s="61" t="s">
        <v>1007</v>
      </c>
      <c r="E435" s="72" t="s">
        <v>1008</v>
      </c>
      <c r="F435" s="62" t="s">
        <v>717</v>
      </c>
      <c r="G435" s="8" t="s">
        <v>56</v>
      </c>
      <c r="H435" s="8">
        <v>2007</v>
      </c>
      <c r="I435" s="62" t="s">
        <v>89</v>
      </c>
      <c r="J435" s="62" t="s">
        <v>213</v>
      </c>
      <c r="K435" s="62" t="s">
        <v>111</v>
      </c>
      <c r="L435" s="62" t="s">
        <v>83</v>
      </c>
      <c r="M435" s="62" t="s">
        <v>47</v>
      </c>
      <c r="N435" s="5">
        <v>0</v>
      </c>
      <c r="O435" s="8">
        <v>0</v>
      </c>
      <c r="P435" s="69">
        <v>118000</v>
      </c>
      <c r="Q435" s="69">
        <v>188000</v>
      </c>
      <c r="R435" s="69">
        <v>153000</v>
      </c>
      <c r="S435" s="62" t="s">
        <v>102</v>
      </c>
      <c r="T435" s="8">
        <f t="shared" si="20"/>
        <v>16</v>
      </c>
      <c r="U435" s="8">
        <v>1</v>
      </c>
      <c r="V435" s="8">
        <v>1</v>
      </c>
      <c r="W435" s="8">
        <v>1</v>
      </c>
      <c r="X435" s="8">
        <v>0</v>
      </c>
      <c r="Y435" s="8">
        <v>1</v>
      </c>
      <c r="Z435" s="8">
        <v>0</v>
      </c>
      <c r="AA435" s="8">
        <v>1</v>
      </c>
      <c r="AB435" s="8">
        <v>1</v>
      </c>
      <c r="AC435" s="8">
        <v>0</v>
      </c>
      <c r="AD435" s="8">
        <v>1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62" t="s">
        <v>49</v>
      </c>
      <c r="AL435" s="62" t="s">
        <v>50</v>
      </c>
      <c r="AM435" s="62" t="s">
        <v>108</v>
      </c>
      <c r="AN435" s="5"/>
      <c r="AO435" s="7"/>
    </row>
    <row r="436" spans="1:41" ht="15.75" customHeight="1" x14ac:dyDescent="0.25">
      <c r="A436" s="4">
        <v>435</v>
      </c>
      <c r="B436" s="5" t="s">
        <v>39</v>
      </c>
      <c r="C436" s="58">
        <v>3.4</v>
      </c>
      <c r="D436" s="61" t="s">
        <v>1009</v>
      </c>
      <c r="E436" s="72" t="s">
        <v>296</v>
      </c>
      <c r="F436" s="62" t="s">
        <v>297</v>
      </c>
      <c r="G436" s="8" t="s">
        <v>43</v>
      </c>
      <c r="H436" s="8">
        <v>2008</v>
      </c>
      <c r="I436" s="62" t="s">
        <v>44</v>
      </c>
      <c r="J436" s="62" t="s">
        <v>110</v>
      </c>
      <c r="K436" s="62" t="s">
        <v>111</v>
      </c>
      <c r="L436" s="62" t="s">
        <v>83</v>
      </c>
      <c r="M436" s="62" t="s">
        <v>47</v>
      </c>
      <c r="N436" s="5">
        <v>0</v>
      </c>
      <c r="O436" s="8">
        <v>0</v>
      </c>
      <c r="P436" s="69">
        <v>108000</v>
      </c>
      <c r="Q436" s="69">
        <v>146000</v>
      </c>
      <c r="R436" s="69">
        <v>127000</v>
      </c>
      <c r="S436" s="62" t="s">
        <v>102</v>
      </c>
      <c r="T436" s="8">
        <f t="shared" si="20"/>
        <v>15</v>
      </c>
      <c r="U436" s="8">
        <v>1</v>
      </c>
      <c r="V436" s="8">
        <v>1</v>
      </c>
      <c r="W436" s="8">
        <v>0</v>
      </c>
      <c r="X436" s="8">
        <v>0</v>
      </c>
      <c r="Y436" s="8">
        <v>1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1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62" t="s">
        <v>49</v>
      </c>
      <c r="AL436" s="62" t="s">
        <v>50</v>
      </c>
      <c r="AM436" s="62" t="s">
        <v>51</v>
      </c>
      <c r="AN436" s="5"/>
      <c r="AO436" s="7"/>
    </row>
    <row r="437" spans="1:41" ht="15.75" customHeight="1" x14ac:dyDescent="0.25">
      <c r="A437" s="4">
        <v>436</v>
      </c>
      <c r="B437" s="5" t="s">
        <v>39</v>
      </c>
      <c r="C437" s="58">
        <v>4.7</v>
      </c>
      <c r="D437" s="61" t="s">
        <v>1010</v>
      </c>
      <c r="E437" s="72" t="s">
        <v>479</v>
      </c>
      <c r="F437" s="62" t="s">
        <v>1011</v>
      </c>
      <c r="G437" s="8" t="s">
        <v>81</v>
      </c>
      <c r="H437" s="8">
        <v>2010</v>
      </c>
      <c r="I437" s="62" t="s">
        <v>44</v>
      </c>
      <c r="J437" s="62" t="s">
        <v>216</v>
      </c>
      <c r="K437" s="62" t="s">
        <v>111</v>
      </c>
      <c r="L437" s="62" t="s">
        <v>83</v>
      </c>
      <c r="M437" s="62" t="s">
        <v>47</v>
      </c>
      <c r="N437" s="5">
        <v>0</v>
      </c>
      <c r="O437" s="8">
        <v>0</v>
      </c>
      <c r="P437" s="69">
        <v>65000</v>
      </c>
      <c r="Q437" s="69">
        <v>106000</v>
      </c>
      <c r="R437" s="69">
        <v>85500</v>
      </c>
      <c r="S437" s="62" t="s">
        <v>102</v>
      </c>
      <c r="T437" s="8">
        <f t="shared" si="20"/>
        <v>13</v>
      </c>
      <c r="U437" s="8">
        <v>1</v>
      </c>
      <c r="V437" s="8">
        <v>1</v>
      </c>
      <c r="W437" s="8">
        <v>0</v>
      </c>
      <c r="X437" s="8">
        <v>1</v>
      </c>
      <c r="Y437" s="8">
        <v>1</v>
      </c>
      <c r="Z437" s="8">
        <v>0</v>
      </c>
      <c r="AA437" s="8">
        <v>0</v>
      </c>
      <c r="AB437" s="8">
        <v>0</v>
      </c>
      <c r="AC437" s="8">
        <v>1</v>
      </c>
      <c r="AD437" s="8">
        <v>1</v>
      </c>
      <c r="AE437" s="8">
        <v>1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62" t="s">
        <v>49</v>
      </c>
      <c r="AL437" s="62" t="s">
        <v>50</v>
      </c>
      <c r="AM437" s="62" t="s">
        <v>108</v>
      </c>
      <c r="AN437" s="5"/>
      <c r="AO437" s="7"/>
    </row>
    <row r="438" spans="1:41" ht="15.75" customHeight="1" x14ac:dyDescent="0.25">
      <c r="A438" s="4">
        <v>437</v>
      </c>
      <c r="B438" s="5" t="s">
        <v>39</v>
      </c>
      <c r="C438" s="58">
        <v>2.8</v>
      </c>
      <c r="D438" s="61" t="s">
        <v>1012</v>
      </c>
      <c r="E438" s="72" t="s">
        <v>1013</v>
      </c>
      <c r="F438" s="62" t="s">
        <v>1014</v>
      </c>
      <c r="G438" s="8" t="s">
        <v>70</v>
      </c>
      <c r="H438" s="8">
        <v>1976</v>
      </c>
      <c r="I438" s="62" t="s">
        <v>89</v>
      </c>
      <c r="J438" s="62" t="s">
        <v>332</v>
      </c>
      <c r="K438" s="62" t="s">
        <v>65</v>
      </c>
      <c r="L438" s="62" t="s">
        <v>91</v>
      </c>
      <c r="M438" s="62" t="s">
        <v>47</v>
      </c>
      <c r="N438" s="5">
        <v>0</v>
      </c>
      <c r="O438" s="8">
        <v>0</v>
      </c>
      <c r="P438" s="69">
        <v>55000</v>
      </c>
      <c r="Q438" s="69">
        <v>98000</v>
      </c>
      <c r="R438" s="69">
        <v>76500</v>
      </c>
      <c r="S438" s="62" t="s">
        <v>85</v>
      </c>
      <c r="T438" s="8">
        <f t="shared" si="20"/>
        <v>47</v>
      </c>
      <c r="U438" s="8">
        <v>1</v>
      </c>
      <c r="V438" s="8">
        <v>0</v>
      </c>
      <c r="W438" s="8">
        <v>0</v>
      </c>
      <c r="X438" s="8">
        <v>1</v>
      </c>
      <c r="Y438" s="8">
        <v>1</v>
      </c>
      <c r="Z438" s="8">
        <v>1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1</v>
      </c>
      <c r="AG438" s="8">
        <v>0</v>
      </c>
      <c r="AH438" s="8">
        <v>0</v>
      </c>
      <c r="AI438" s="8">
        <v>0</v>
      </c>
      <c r="AJ438" s="8">
        <v>0</v>
      </c>
      <c r="AK438" s="62" t="s">
        <v>49</v>
      </c>
      <c r="AL438" s="62" t="s">
        <v>50</v>
      </c>
      <c r="AM438" s="62" t="s">
        <v>77</v>
      </c>
      <c r="AN438" s="5"/>
      <c r="AO438" s="7"/>
    </row>
    <row r="439" spans="1:41" ht="15.75" customHeight="1" x14ac:dyDescent="0.25">
      <c r="A439" s="4">
        <v>438</v>
      </c>
      <c r="B439" s="5" t="s">
        <v>39</v>
      </c>
      <c r="C439" s="58">
        <v>3.5</v>
      </c>
      <c r="D439" s="61" t="s">
        <v>1015</v>
      </c>
      <c r="E439" s="72" t="s">
        <v>79</v>
      </c>
      <c r="F439" s="62" t="s">
        <v>114</v>
      </c>
      <c r="G439" s="8" t="s">
        <v>70</v>
      </c>
      <c r="H439" s="8">
        <v>1992</v>
      </c>
      <c r="I439" s="62" t="s">
        <v>142</v>
      </c>
      <c r="J439" s="62" t="s">
        <v>470</v>
      </c>
      <c r="K439" s="62" t="s">
        <v>144</v>
      </c>
      <c r="L439" s="62" t="s">
        <v>74</v>
      </c>
      <c r="M439" s="62" t="s">
        <v>1016</v>
      </c>
      <c r="N439" s="5">
        <v>0</v>
      </c>
      <c r="O439" s="8">
        <v>0</v>
      </c>
      <c r="P439" s="69">
        <v>94000</v>
      </c>
      <c r="Q439" s="69">
        <v>162000</v>
      </c>
      <c r="R439" s="69">
        <v>128000</v>
      </c>
      <c r="S439" s="62" t="s">
        <v>85</v>
      </c>
      <c r="T439" s="8">
        <f t="shared" si="20"/>
        <v>31</v>
      </c>
      <c r="U439" s="8">
        <v>1</v>
      </c>
      <c r="V439" s="8">
        <v>1</v>
      </c>
      <c r="W439" s="8">
        <v>0</v>
      </c>
      <c r="X439" s="8">
        <v>0</v>
      </c>
      <c r="Y439" s="8">
        <v>1</v>
      </c>
      <c r="Z439" s="8">
        <v>0</v>
      </c>
      <c r="AA439" s="8">
        <v>1</v>
      </c>
      <c r="AB439" s="8">
        <v>0</v>
      </c>
      <c r="AC439" s="8">
        <v>1</v>
      </c>
      <c r="AD439" s="8">
        <v>1</v>
      </c>
      <c r="AE439" s="8">
        <v>1</v>
      </c>
      <c r="AF439" s="8">
        <v>1</v>
      </c>
      <c r="AG439" s="8">
        <v>0</v>
      </c>
      <c r="AH439" s="8">
        <v>0</v>
      </c>
      <c r="AI439" s="8">
        <v>1</v>
      </c>
      <c r="AJ439" s="8">
        <v>1</v>
      </c>
      <c r="AK439" s="62" t="s">
        <v>49</v>
      </c>
      <c r="AL439" s="62" t="s">
        <v>50</v>
      </c>
      <c r="AM439" s="62" t="s">
        <v>77</v>
      </c>
      <c r="AN439" s="5"/>
      <c r="AO439" s="7"/>
    </row>
    <row r="440" spans="1:41" ht="15.75" customHeight="1" x14ac:dyDescent="0.25">
      <c r="A440" s="4">
        <v>439</v>
      </c>
      <c r="B440" s="5" t="s">
        <v>224</v>
      </c>
      <c r="C440" s="58">
        <v>3.2</v>
      </c>
      <c r="D440" s="61" t="s">
        <v>314</v>
      </c>
      <c r="E440" s="72" t="s">
        <v>1017</v>
      </c>
      <c r="F440" s="62" t="s">
        <v>316</v>
      </c>
      <c r="G440" s="8">
        <v>500</v>
      </c>
      <c r="H440" s="8" t="s">
        <v>47</v>
      </c>
      <c r="I440" s="62" t="s">
        <v>44</v>
      </c>
      <c r="J440" s="62" t="s">
        <v>317</v>
      </c>
      <c r="K440" s="62" t="s">
        <v>65</v>
      </c>
      <c r="L440" s="62" t="s">
        <v>318</v>
      </c>
      <c r="M440" s="62" t="s">
        <v>47</v>
      </c>
      <c r="N440" s="5">
        <v>0</v>
      </c>
      <c r="O440" s="8">
        <v>0</v>
      </c>
      <c r="P440" s="69">
        <v>63000</v>
      </c>
      <c r="Q440" s="69">
        <v>120000</v>
      </c>
      <c r="R440" s="69">
        <v>91500</v>
      </c>
      <c r="S440" s="62" t="s">
        <v>305</v>
      </c>
      <c r="T440" s="8" t="s">
        <v>47</v>
      </c>
      <c r="U440" s="8">
        <v>1</v>
      </c>
      <c r="V440" s="8">
        <v>1</v>
      </c>
      <c r="W440" s="8">
        <v>1</v>
      </c>
      <c r="X440" s="8">
        <v>1</v>
      </c>
      <c r="Y440" s="8">
        <v>1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1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62" t="s">
        <v>146</v>
      </c>
      <c r="AL440" s="62" t="s">
        <v>50</v>
      </c>
      <c r="AM440" s="62" t="s">
        <v>77</v>
      </c>
      <c r="AN440" s="5"/>
      <c r="AO440" s="7"/>
    </row>
    <row r="441" spans="1:41" ht="15.75" customHeight="1" x14ac:dyDescent="0.25">
      <c r="A441" s="4">
        <v>440</v>
      </c>
      <c r="B441" s="5" t="s">
        <v>636</v>
      </c>
      <c r="C441" s="58">
        <v>4.4000000000000004</v>
      </c>
      <c r="D441" s="61" t="s">
        <v>579</v>
      </c>
      <c r="E441" s="72" t="s">
        <v>134</v>
      </c>
      <c r="F441" s="62" t="s">
        <v>134</v>
      </c>
      <c r="G441" s="8" t="s">
        <v>88</v>
      </c>
      <c r="H441" s="8">
        <v>2013</v>
      </c>
      <c r="I441" s="62" t="s">
        <v>89</v>
      </c>
      <c r="J441" s="62" t="s">
        <v>136</v>
      </c>
      <c r="K441" s="62" t="s">
        <v>136</v>
      </c>
      <c r="L441" s="62" t="s">
        <v>66</v>
      </c>
      <c r="M441" s="62" t="s">
        <v>47</v>
      </c>
      <c r="N441" s="5">
        <v>0</v>
      </c>
      <c r="O441" s="8">
        <v>0</v>
      </c>
      <c r="P441" s="69">
        <v>90000</v>
      </c>
      <c r="Q441" s="69">
        <v>179000</v>
      </c>
      <c r="R441" s="69">
        <v>134500</v>
      </c>
      <c r="S441" s="62" t="s">
        <v>138</v>
      </c>
      <c r="T441" s="8">
        <f t="shared" ref="T441:T450" si="21">2023-H441</f>
        <v>10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62" t="s">
        <v>107</v>
      </c>
      <c r="AL441" s="62" t="s">
        <v>169</v>
      </c>
      <c r="AM441" s="62" t="s">
        <v>108</v>
      </c>
      <c r="AN441" s="5"/>
      <c r="AO441" s="7"/>
    </row>
    <row r="442" spans="1:41" ht="15.75" customHeight="1" x14ac:dyDescent="0.25">
      <c r="A442" s="4">
        <v>441</v>
      </c>
      <c r="B442" s="5" t="s">
        <v>39</v>
      </c>
      <c r="C442" s="58">
        <v>3.3</v>
      </c>
      <c r="D442" s="61" t="s">
        <v>809</v>
      </c>
      <c r="E442" s="72" t="s">
        <v>98</v>
      </c>
      <c r="F442" s="62" t="s">
        <v>114</v>
      </c>
      <c r="G442" s="8" t="s">
        <v>88</v>
      </c>
      <c r="H442" s="8">
        <v>2008</v>
      </c>
      <c r="I442" s="62" t="s">
        <v>44</v>
      </c>
      <c r="J442" s="62" t="s">
        <v>82</v>
      </c>
      <c r="K442" s="62" t="s">
        <v>65</v>
      </c>
      <c r="L442" s="62" t="s">
        <v>83</v>
      </c>
      <c r="M442" s="62" t="s">
        <v>47</v>
      </c>
      <c r="N442" s="5">
        <v>0</v>
      </c>
      <c r="O442" s="8">
        <v>0</v>
      </c>
      <c r="P442" s="69">
        <v>127000</v>
      </c>
      <c r="Q442" s="69">
        <v>202000</v>
      </c>
      <c r="R442" s="69">
        <v>164500</v>
      </c>
      <c r="S442" s="62" t="s">
        <v>102</v>
      </c>
      <c r="T442" s="8">
        <f t="shared" si="21"/>
        <v>15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62" t="s">
        <v>49</v>
      </c>
      <c r="AL442" s="62" t="s">
        <v>50</v>
      </c>
      <c r="AM442" s="62" t="s">
        <v>77</v>
      </c>
      <c r="AN442" s="5"/>
      <c r="AO442" s="7"/>
    </row>
    <row r="443" spans="1:41" ht="15.75" customHeight="1" x14ac:dyDescent="0.25">
      <c r="A443" s="4">
        <v>442</v>
      </c>
      <c r="B443" s="5" t="s">
        <v>632</v>
      </c>
      <c r="C443" s="58">
        <v>4</v>
      </c>
      <c r="D443" s="61" t="s">
        <v>633</v>
      </c>
      <c r="E443" s="72" t="s">
        <v>634</v>
      </c>
      <c r="F443" s="62" t="s">
        <v>635</v>
      </c>
      <c r="G443" s="8" t="s">
        <v>81</v>
      </c>
      <c r="H443" s="8">
        <v>2002</v>
      </c>
      <c r="I443" s="62" t="s">
        <v>44</v>
      </c>
      <c r="J443" s="62" t="s">
        <v>216</v>
      </c>
      <c r="K443" s="62" t="s">
        <v>111</v>
      </c>
      <c r="L443" s="62" t="s">
        <v>318</v>
      </c>
      <c r="M443" s="62" t="s">
        <v>47</v>
      </c>
      <c r="N443" s="5">
        <v>0</v>
      </c>
      <c r="O443" s="8">
        <v>0</v>
      </c>
      <c r="P443" s="69">
        <v>60000</v>
      </c>
      <c r="Q443" s="69">
        <v>127000</v>
      </c>
      <c r="R443" s="69">
        <v>93500</v>
      </c>
      <c r="S443" s="62" t="s">
        <v>61</v>
      </c>
      <c r="T443" s="8">
        <f t="shared" si="21"/>
        <v>21</v>
      </c>
      <c r="U443" s="8">
        <v>0</v>
      </c>
      <c r="V443" s="8">
        <v>0</v>
      </c>
      <c r="W443" s="8">
        <v>0</v>
      </c>
      <c r="X443" s="8">
        <v>1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62" t="s">
        <v>107</v>
      </c>
      <c r="AL443" s="62" t="s">
        <v>50</v>
      </c>
      <c r="AM443" s="62" t="s">
        <v>51</v>
      </c>
      <c r="AN443" s="5"/>
      <c r="AO443" s="7"/>
    </row>
    <row r="444" spans="1:41" ht="15.75" customHeight="1" x14ac:dyDescent="0.25">
      <c r="A444" s="4">
        <v>443</v>
      </c>
      <c r="B444" s="5" t="s">
        <v>810</v>
      </c>
      <c r="C444" s="58">
        <v>3.4</v>
      </c>
      <c r="D444" s="61" t="s">
        <v>811</v>
      </c>
      <c r="E444" s="72" t="s">
        <v>812</v>
      </c>
      <c r="F444" s="62" t="s">
        <v>813</v>
      </c>
      <c r="G444" s="8" t="s">
        <v>88</v>
      </c>
      <c r="H444" s="8">
        <v>1991</v>
      </c>
      <c r="I444" s="62" t="s">
        <v>89</v>
      </c>
      <c r="J444" s="62" t="s">
        <v>814</v>
      </c>
      <c r="K444" s="62" t="s">
        <v>207</v>
      </c>
      <c r="L444" s="62" t="s">
        <v>46</v>
      </c>
      <c r="M444" s="62" t="s">
        <v>47</v>
      </c>
      <c r="N444" s="5">
        <v>0</v>
      </c>
      <c r="O444" s="8">
        <v>0</v>
      </c>
      <c r="P444" s="69">
        <v>31000</v>
      </c>
      <c r="Q444" s="69">
        <v>57000</v>
      </c>
      <c r="R444" s="69">
        <v>44000</v>
      </c>
      <c r="S444" s="62" t="s">
        <v>67</v>
      </c>
      <c r="T444" s="8">
        <f t="shared" si="21"/>
        <v>32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62" t="s">
        <v>132</v>
      </c>
      <c r="AL444" s="62" t="s">
        <v>50</v>
      </c>
      <c r="AM444" s="62" t="s">
        <v>51</v>
      </c>
      <c r="AN444" s="5"/>
      <c r="AO444" s="7"/>
    </row>
    <row r="445" spans="1:41" ht="15.75" customHeight="1" x14ac:dyDescent="0.25">
      <c r="A445" s="4">
        <v>444</v>
      </c>
      <c r="B445" s="5" t="s">
        <v>815</v>
      </c>
      <c r="C445" s="58">
        <v>3.8</v>
      </c>
      <c r="D445" s="61" t="s">
        <v>816</v>
      </c>
      <c r="E445" s="72" t="s">
        <v>732</v>
      </c>
      <c r="F445" s="62" t="s">
        <v>817</v>
      </c>
      <c r="G445" s="8" t="s">
        <v>43</v>
      </c>
      <c r="H445" s="8">
        <v>2010</v>
      </c>
      <c r="I445" s="62" t="s">
        <v>44</v>
      </c>
      <c r="J445" s="62" t="s">
        <v>216</v>
      </c>
      <c r="K445" s="62" t="s">
        <v>111</v>
      </c>
      <c r="L445" s="62" t="s">
        <v>83</v>
      </c>
      <c r="M445" s="62" t="s">
        <v>818</v>
      </c>
      <c r="N445" s="5">
        <v>0</v>
      </c>
      <c r="O445" s="8">
        <v>0</v>
      </c>
      <c r="P445" s="69">
        <v>105000</v>
      </c>
      <c r="Q445" s="69">
        <v>194000</v>
      </c>
      <c r="R445" s="69">
        <v>149500</v>
      </c>
      <c r="S445" s="62" t="s">
        <v>93</v>
      </c>
      <c r="T445" s="8">
        <f t="shared" si="21"/>
        <v>13</v>
      </c>
      <c r="U445" s="8">
        <v>0</v>
      </c>
      <c r="V445" s="8">
        <v>1</v>
      </c>
      <c r="W445" s="8">
        <v>1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62" t="s">
        <v>146</v>
      </c>
      <c r="AL445" s="62" t="s">
        <v>50</v>
      </c>
      <c r="AM445" s="62" t="s">
        <v>51</v>
      </c>
      <c r="AN445" s="5"/>
      <c r="AO445" s="7"/>
    </row>
    <row r="446" spans="1:41" ht="15.75" customHeight="1" x14ac:dyDescent="0.25">
      <c r="A446" s="4">
        <v>445</v>
      </c>
      <c r="B446" s="5" t="s">
        <v>819</v>
      </c>
      <c r="C446" s="58">
        <v>3.5</v>
      </c>
      <c r="D446" s="61" t="s">
        <v>820</v>
      </c>
      <c r="E446" s="72" t="s">
        <v>243</v>
      </c>
      <c r="F446" s="62" t="s">
        <v>243</v>
      </c>
      <c r="G446" s="8" t="s">
        <v>70</v>
      </c>
      <c r="H446" s="8">
        <v>2007</v>
      </c>
      <c r="I446" s="62" t="s">
        <v>44</v>
      </c>
      <c r="J446" s="62" t="s">
        <v>121</v>
      </c>
      <c r="K446" s="62" t="s">
        <v>65</v>
      </c>
      <c r="L446" s="62" t="s">
        <v>83</v>
      </c>
      <c r="M446" s="62" t="s">
        <v>47</v>
      </c>
      <c r="N446" s="5">
        <v>0</v>
      </c>
      <c r="O446" s="8">
        <v>0</v>
      </c>
      <c r="P446" s="69">
        <v>45000</v>
      </c>
      <c r="Q446" s="69">
        <v>86000</v>
      </c>
      <c r="R446" s="69">
        <v>65500</v>
      </c>
      <c r="S446" s="62" t="s">
        <v>245</v>
      </c>
      <c r="T446" s="8">
        <f t="shared" si="21"/>
        <v>16</v>
      </c>
      <c r="U446" s="8">
        <v>0</v>
      </c>
      <c r="V446" s="8">
        <v>1</v>
      </c>
      <c r="W446" s="8">
        <v>1</v>
      </c>
      <c r="X446" s="8">
        <v>1</v>
      </c>
      <c r="Y446" s="8">
        <v>1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62" t="s">
        <v>146</v>
      </c>
      <c r="AL446" s="62" t="s">
        <v>50</v>
      </c>
      <c r="AM446" s="62" t="s">
        <v>51</v>
      </c>
      <c r="AN446" s="5"/>
      <c r="AO446" s="7"/>
    </row>
    <row r="447" spans="1:41" ht="15.75" customHeight="1" x14ac:dyDescent="0.25">
      <c r="A447" s="4">
        <v>446</v>
      </c>
      <c r="B447" s="5" t="s">
        <v>224</v>
      </c>
      <c r="C447" s="58">
        <v>4.4000000000000004</v>
      </c>
      <c r="D447" s="61" t="s">
        <v>323</v>
      </c>
      <c r="E447" s="72" t="s">
        <v>119</v>
      </c>
      <c r="F447" s="62" t="s">
        <v>325</v>
      </c>
      <c r="G447" s="8">
        <v>500</v>
      </c>
      <c r="H447" s="8">
        <v>2015</v>
      </c>
      <c r="I447" s="62" t="s">
        <v>44</v>
      </c>
      <c r="J447" s="62" t="s">
        <v>155</v>
      </c>
      <c r="K447" s="62" t="s">
        <v>111</v>
      </c>
      <c r="L447" s="62" t="s">
        <v>83</v>
      </c>
      <c r="M447" s="62" t="s">
        <v>47</v>
      </c>
      <c r="N447" s="5">
        <v>0</v>
      </c>
      <c r="O447" s="8">
        <v>0</v>
      </c>
      <c r="P447" s="69">
        <v>75000</v>
      </c>
      <c r="Q447" s="69">
        <v>143000</v>
      </c>
      <c r="R447" s="69">
        <v>109000</v>
      </c>
      <c r="S447" s="62" t="s">
        <v>122</v>
      </c>
      <c r="T447" s="8">
        <f t="shared" si="21"/>
        <v>8</v>
      </c>
      <c r="U447" s="8">
        <v>1</v>
      </c>
      <c r="V447" s="8">
        <v>1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1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62" t="s">
        <v>146</v>
      </c>
      <c r="AL447" s="62" t="s">
        <v>50</v>
      </c>
      <c r="AM447" s="62" t="s">
        <v>77</v>
      </c>
      <c r="AN447" s="5"/>
      <c r="AO447" s="7"/>
    </row>
    <row r="448" spans="1:41" ht="15.75" customHeight="1" x14ac:dyDescent="0.25">
      <c r="A448" s="4">
        <v>447</v>
      </c>
      <c r="B448" s="5" t="s">
        <v>815</v>
      </c>
      <c r="C448" s="58">
        <v>3.7</v>
      </c>
      <c r="D448" s="61" t="s">
        <v>1018</v>
      </c>
      <c r="E448" s="72" t="s">
        <v>153</v>
      </c>
      <c r="F448" s="62" t="s">
        <v>154</v>
      </c>
      <c r="G448" s="8" t="s">
        <v>70</v>
      </c>
      <c r="H448" s="8">
        <v>1988</v>
      </c>
      <c r="I448" s="62" t="s">
        <v>142</v>
      </c>
      <c r="J448" s="62" t="s">
        <v>216</v>
      </c>
      <c r="K448" s="62" t="s">
        <v>111</v>
      </c>
      <c r="L448" s="62" t="s">
        <v>46</v>
      </c>
      <c r="M448" s="62" t="s">
        <v>1019</v>
      </c>
      <c r="N448" s="5">
        <v>0</v>
      </c>
      <c r="O448" s="8">
        <v>0</v>
      </c>
      <c r="P448" s="69">
        <v>126000</v>
      </c>
      <c r="Q448" s="69">
        <v>228000</v>
      </c>
      <c r="R448" s="69">
        <v>177000</v>
      </c>
      <c r="S448" s="62" t="s">
        <v>102</v>
      </c>
      <c r="T448" s="8">
        <f t="shared" si="21"/>
        <v>35</v>
      </c>
      <c r="U448" s="8">
        <v>1</v>
      </c>
      <c r="V448" s="8">
        <v>1</v>
      </c>
      <c r="W448" s="8">
        <v>1</v>
      </c>
      <c r="X448" s="8">
        <v>0</v>
      </c>
      <c r="Y448" s="8">
        <v>1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1</v>
      </c>
      <c r="AF448" s="8">
        <v>0</v>
      </c>
      <c r="AG448" s="8">
        <v>0</v>
      </c>
      <c r="AH448" s="8">
        <v>1</v>
      </c>
      <c r="AI448" s="8">
        <v>1</v>
      </c>
      <c r="AJ448" s="8">
        <v>0</v>
      </c>
      <c r="AK448" s="62" t="s">
        <v>146</v>
      </c>
      <c r="AL448" s="62" t="s">
        <v>50</v>
      </c>
      <c r="AM448" s="62" t="s">
        <v>108</v>
      </c>
      <c r="AN448" s="5"/>
      <c r="AO448" s="7"/>
    </row>
    <row r="449" spans="1:41" ht="15.75" customHeight="1" x14ac:dyDescent="0.25">
      <c r="A449" s="4">
        <v>448</v>
      </c>
      <c r="B449" s="5" t="s">
        <v>39</v>
      </c>
      <c r="C449" s="58">
        <v>4.7</v>
      </c>
      <c r="D449" s="61" t="s">
        <v>218</v>
      </c>
      <c r="E449" s="72" t="s">
        <v>364</v>
      </c>
      <c r="F449" s="62" t="s">
        <v>219</v>
      </c>
      <c r="G449" s="8" t="s">
        <v>88</v>
      </c>
      <c r="H449" s="8">
        <v>2010</v>
      </c>
      <c r="I449" s="62" t="s">
        <v>44</v>
      </c>
      <c r="J449" s="62" t="s">
        <v>45</v>
      </c>
      <c r="K449" s="62" t="s">
        <v>45</v>
      </c>
      <c r="L449" s="62" t="s">
        <v>66</v>
      </c>
      <c r="M449" s="62" t="s">
        <v>47</v>
      </c>
      <c r="N449" s="5">
        <v>0</v>
      </c>
      <c r="O449" s="8">
        <v>0</v>
      </c>
      <c r="P449" s="69">
        <v>80000</v>
      </c>
      <c r="Q449" s="69">
        <v>134000</v>
      </c>
      <c r="R449" s="69">
        <v>107000</v>
      </c>
      <c r="S449" s="62" t="s">
        <v>122</v>
      </c>
      <c r="T449" s="8">
        <f t="shared" si="21"/>
        <v>13</v>
      </c>
      <c r="U449" s="8">
        <v>1</v>
      </c>
      <c r="V449" s="8">
        <v>1</v>
      </c>
      <c r="W449" s="8">
        <v>0</v>
      </c>
      <c r="X449" s="8">
        <v>1</v>
      </c>
      <c r="Y449" s="8">
        <v>1</v>
      </c>
      <c r="Z449" s="8">
        <v>0</v>
      </c>
      <c r="AA449" s="8">
        <v>0</v>
      </c>
      <c r="AB449" s="8">
        <v>1</v>
      </c>
      <c r="AC449" s="8">
        <v>1</v>
      </c>
      <c r="AD449" s="8">
        <v>1</v>
      </c>
      <c r="AE449" s="8">
        <v>1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62" t="s">
        <v>49</v>
      </c>
      <c r="AL449" s="62" t="s">
        <v>50</v>
      </c>
      <c r="AM449" s="62" t="s">
        <v>108</v>
      </c>
      <c r="AN449" s="5"/>
      <c r="AO449" s="7"/>
    </row>
    <row r="450" spans="1:41" ht="15.75" customHeight="1" x14ac:dyDescent="0.25">
      <c r="A450" s="4">
        <v>449</v>
      </c>
      <c r="B450" s="5" t="s">
        <v>39</v>
      </c>
      <c r="C450" s="58">
        <v>4.0999999999999996</v>
      </c>
      <c r="D450" s="61" t="s">
        <v>281</v>
      </c>
      <c r="E450" s="72" t="s">
        <v>479</v>
      </c>
      <c r="F450" s="62" t="s">
        <v>282</v>
      </c>
      <c r="G450" s="8" t="s">
        <v>43</v>
      </c>
      <c r="H450" s="8">
        <v>2012</v>
      </c>
      <c r="I450" s="62" t="s">
        <v>44</v>
      </c>
      <c r="J450" s="62" t="s">
        <v>155</v>
      </c>
      <c r="K450" s="62" t="s">
        <v>111</v>
      </c>
      <c r="L450" s="62" t="s">
        <v>83</v>
      </c>
      <c r="M450" s="62" t="s">
        <v>283</v>
      </c>
      <c r="N450" s="5">
        <v>0</v>
      </c>
      <c r="O450" s="8">
        <v>0</v>
      </c>
      <c r="P450" s="69">
        <v>120000</v>
      </c>
      <c r="Q450" s="69">
        <v>189000</v>
      </c>
      <c r="R450" s="69">
        <v>154500</v>
      </c>
      <c r="S450" s="62" t="s">
        <v>102</v>
      </c>
      <c r="T450" s="8">
        <f t="shared" si="21"/>
        <v>11</v>
      </c>
      <c r="U450" s="8">
        <v>1</v>
      </c>
      <c r="V450" s="8">
        <v>1</v>
      </c>
      <c r="W450" s="8">
        <v>0</v>
      </c>
      <c r="X450" s="8">
        <v>1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1</v>
      </c>
      <c r="AE450" s="8">
        <v>0</v>
      </c>
      <c r="AF450" s="8">
        <v>0</v>
      </c>
      <c r="AG450" s="8">
        <v>0</v>
      </c>
      <c r="AH450" s="8">
        <v>1</v>
      </c>
      <c r="AI450" s="8">
        <v>0</v>
      </c>
      <c r="AJ450" s="8">
        <v>0</v>
      </c>
      <c r="AK450" s="62" t="s">
        <v>49</v>
      </c>
      <c r="AL450" s="62" t="s">
        <v>50</v>
      </c>
      <c r="AM450" s="62" t="s">
        <v>108</v>
      </c>
      <c r="AN450" s="5"/>
      <c r="AO450" s="7"/>
    </row>
    <row r="451" spans="1:41" ht="15.75" customHeight="1" x14ac:dyDescent="0.25">
      <c r="A451" s="4">
        <v>450</v>
      </c>
      <c r="B451" s="5" t="s">
        <v>39</v>
      </c>
      <c r="C451" s="58">
        <v>4</v>
      </c>
      <c r="D451" s="61" t="s">
        <v>1020</v>
      </c>
      <c r="E451" s="72" t="s">
        <v>479</v>
      </c>
      <c r="F451" s="62" t="s">
        <v>1021</v>
      </c>
      <c r="G451" s="8">
        <v>500</v>
      </c>
      <c r="H451" s="8" t="s">
        <v>47</v>
      </c>
      <c r="I451" s="62" t="s">
        <v>44</v>
      </c>
      <c r="J451" s="62" t="s">
        <v>1022</v>
      </c>
      <c r="K451" s="62" t="s">
        <v>1023</v>
      </c>
      <c r="L451" s="62" t="s">
        <v>233</v>
      </c>
      <c r="M451" s="62" t="s">
        <v>47</v>
      </c>
      <c r="N451" s="5">
        <v>0</v>
      </c>
      <c r="O451" s="8">
        <v>0</v>
      </c>
      <c r="P451" s="69">
        <v>85000</v>
      </c>
      <c r="Q451" s="69">
        <v>142000</v>
      </c>
      <c r="R451" s="69">
        <v>113500</v>
      </c>
      <c r="S451" s="62" t="s">
        <v>102</v>
      </c>
      <c r="T451" s="8" t="s">
        <v>47</v>
      </c>
      <c r="U451" s="8">
        <v>1</v>
      </c>
      <c r="V451" s="8">
        <v>1</v>
      </c>
      <c r="W451" s="8">
        <v>0</v>
      </c>
      <c r="X451" s="8">
        <v>0</v>
      </c>
      <c r="Y451" s="8">
        <v>1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62" t="s">
        <v>49</v>
      </c>
      <c r="AL451" s="62" t="s">
        <v>50</v>
      </c>
      <c r="AM451" s="62" t="s">
        <v>77</v>
      </c>
      <c r="AN451" s="5"/>
      <c r="AO451" s="7"/>
    </row>
    <row r="452" spans="1:41" ht="15.75" customHeight="1" x14ac:dyDescent="0.25">
      <c r="A452" s="4">
        <v>451</v>
      </c>
      <c r="B452" s="5" t="s">
        <v>220</v>
      </c>
      <c r="C452" s="58">
        <v>3.5</v>
      </c>
      <c r="D452" s="61" t="s">
        <v>821</v>
      </c>
      <c r="E452" s="72" t="s">
        <v>420</v>
      </c>
      <c r="F452" s="62" t="s">
        <v>420</v>
      </c>
      <c r="G452" s="8" t="s">
        <v>70</v>
      </c>
      <c r="H452" s="8">
        <v>2017</v>
      </c>
      <c r="I452" s="62" t="s">
        <v>89</v>
      </c>
      <c r="J452" s="62" t="s">
        <v>161</v>
      </c>
      <c r="K452" s="62" t="s">
        <v>162</v>
      </c>
      <c r="L452" s="62" t="s">
        <v>83</v>
      </c>
      <c r="M452" s="62" t="s">
        <v>47</v>
      </c>
      <c r="N452" s="5">
        <v>0</v>
      </c>
      <c r="O452" s="8">
        <v>0</v>
      </c>
      <c r="P452" s="69">
        <v>95000</v>
      </c>
      <c r="Q452" s="69">
        <v>154000</v>
      </c>
      <c r="R452" s="69">
        <v>124500</v>
      </c>
      <c r="S452" s="62" t="s">
        <v>423</v>
      </c>
      <c r="T452" s="8">
        <f>2023-H452</f>
        <v>6</v>
      </c>
      <c r="U452" s="8">
        <v>1</v>
      </c>
      <c r="V452" s="8">
        <v>1</v>
      </c>
      <c r="W452" s="8">
        <v>0</v>
      </c>
      <c r="X452" s="8">
        <v>1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62" t="s">
        <v>49</v>
      </c>
      <c r="AL452" s="62" t="s">
        <v>169</v>
      </c>
      <c r="AM452" s="62" t="s">
        <v>51</v>
      </c>
      <c r="AN452" s="5"/>
      <c r="AO452" s="7"/>
    </row>
    <row r="453" spans="1:41" ht="15.75" customHeight="1" x14ac:dyDescent="0.25">
      <c r="A453" s="4">
        <v>452</v>
      </c>
      <c r="B453" s="5" t="s">
        <v>39</v>
      </c>
      <c r="C453" s="58">
        <v>2.5</v>
      </c>
      <c r="D453" s="61" t="s">
        <v>1024</v>
      </c>
      <c r="E453" s="72" t="s">
        <v>1025</v>
      </c>
      <c r="F453" s="62" t="s">
        <v>1025</v>
      </c>
      <c r="G453" s="8">
        <v>500</v>
      </c>
      <c r="H453" s="8" t="s">
        <v>47</v>
      </c>
      <c r="I453" s="62" t="s">
        <v>44</v>
      </c>
      <c r="J453" s="62" t="s">
        <v>136</v>
      </c>
      <c r="K453" s="62" t="s">
        <v>136</v>
      </c>
      <c r="L453" s="62" t="s">
        <v>83</v>
      </c>
      <c r="M453" s="62" t="s">
        <v>1026</v>
      </c>
      <c r="N453" s="5">
        <v>0</v>
      </c>
      <c r="O453" s="8">
        <v>0</v>
      </c>
      <c r="P453" s="69">
        <v>111000</v>
      </c>
      <c r="Q453" s="69">
        <v>176000</v>
      </c>
      <c r="R453" s="69">
        <v>143500</v>
      </c>
      <c r="S453" s="62" t="s">
        <v>102</v>
      </c>
      <c r="T453" s="8" t="s">
        <v>47</v>
      </c>
      <c r="U453" s="8">
        <v>1</v>
      </c>
      <c r="V453" s="8">
        <v>0</v>
      </c>
      <c r="W453" s="8">
        <v>0</v>
      </c>
      <c r="X453" s="8">
        <v>1</v>
      </c>
      <c r="Y453" s="8">
        <v>1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62" t="s">
        <v>49</v>
      </c>
      <c r="AL453" s="62" t="s">
        <v>50</v>
      </c>
      <c r="AM453" s="62" t="s">
        <v>108</v>
      </c>
      <c r="AN453" s="5"/>
      <c r="AO453" s="7"/>
    </row>
    <row r="454" spans="1:41" ht="15.75" customHeight="1" x14ac:dyDescent="0.25">
      <c r="A454" s="4">
        <v>453</v>
      </c>
      <c r="B454" s="5" t="s">
        <v>39</v>
      </c>
      <c r="C454" s="58">
        <v>3.9</v>
      </c>
      <c r="D454" s="61" t="s">
        <v>1027</v>
      </c>
      <c r="E454" s="72" t="s">
        <v>98</v>
      </c>
      <c r="F454" s="62" t="s">
        <v>55</v>
      </c>
      <c r="G454" s="8">
        <v>500</v>
      </c>
      <c r="H454" s="8" t="s">
        <v>47</v>
      </c>
      <c r="I454" s="62" t="s">
        <v>44</v>
      </c>
      <c r="J454" s="62" t="s">
        <v>213</v>
      </c>
      <c r="K454" s="62" t="s">
        <v>111</v>
      </c>
      <c r="L454" s="62" t="s">
        <v>233</v>
      </c>
      <c r="M454" s="62" t="s">
        <v>47</v>
      </c>
      <c r="N454" s="5">
        <v>0</v>
      </c>
      <c r="O454" s="8">
        <v>0</v>
      </c>
      <c r="P454" s="69">
        <v>87000</v>
      </c>
      <c r="Q454" s="69">
        <v>140000</v>
      </c>
      <c r="R454" s="69">
        <v>113500</v>
      </c>
      <c r="S454" s="62" t="s">
        <v>102</v>
      </c>
      <c r="T454" s="8" t="s">
        <v>47</v>
      </c>
      <c r="U454" s="8">
        <v>1</v>
      </c>
      <c r="V454" s="8">
        <v>0</v>
      </c>
      <c r="W454" s="8">
        <v>0</v>
      </c>
      <c r="X454" s="8">
        <v>0</v>
      </c>
      <c r="Y454" s="8">
        <v>1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62" t="s">
        <v>49</v>
      </c>
      <c r="AL454" s="62" t="s">
        <v>50</v>
      </c>
      <c r="AM454" s="62" t="s">
        <v>51</v>
      </c>
      <c r="AN454" s="5"/>
      <c r="AO454" s="7"/>
    </row>
    <row r="455" spans="1:41" ht="15.75" customHeight="1" x14ac:dyDescent="0.25">
      <c r="A455" s="4">
        <v>454</v>
      </c>
      <c r="B455" s="5" t="s">
        <v>39</v>
      </c>
      <c r="C455" s="58">
        <v>3.4</v>
      </c>
      <c r="D455" s="61" t="s">
        <v>1028</v>
      </c>
      <c r="E455" s="72" t="s">
        <v>1001</v>
      </c>
      <c r="F455" s="62" t="s">
        <v>339</v>
      </c>
      <c r="G455" s="8" t="s">
        <v>56</v>
      </c>
      <c r="H455" s="8">
        <v>1969</v>
      </c>
      <c r="I455" s="62" t="s">
        <v>89</v>
      </c>
      <c r="J455" s="62" t="s">
        <v>45</v>
      </c>
      <c r="K455" s="62" t="s">
        <v>45</v>
      </c>
      <c r="L455" s="62" t="s">
        <v>128</v>
      </c>
      <c r="M455" s="62" t="s">
        <v>47</v>
      </c>
      <c r="N455" s="5">
        <v>0</v>
      </c>
      <c r="O455" s="8">
        <v>0</v>
      </c>
      <c r="P455" s="69">
        <v>76000</v>
      </c>
      <c r="Q455" s="69">
        <v>127000</v>
      </c>
      <c r="R455" s="69">
        <v>101500</v>
      </c>
      <c r="S455" s="62" t="s">
        <v>122</v>
      </c>
      <c r="T455" s="8">
        <f t="shared" ref="T455:T457" si="22">2023-H455</f>
        <v>54</v>
      </c>
      <c r="U455" s="8">
        <v>1</v>
      </c>
      <c r="V455" s="8">
        <v>0</v>
      </c>
      <c r="W455" s="8">
        <v>1</v>
      </c>
      <c r="X455" s="8">
        <v>0</v>
      </c>
      <c r="Y455" s="8">
        <v>0</v>
      </c>
      <c r="Z455" s="8">
        <v>0</v>
      </c>
      <c r="AA455" s="8">
        <v>0</v>
      </c>
      <c r="AB455" s="8">
        <v>1</v>
      </c>
      <c r="AC455" s="8">
        <v>0</v>
      </c>
      <c r="AD455" s="8">
        <v>1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62" t="s">
        <v>49</v>
      </c>
      <c r="AL455" s="62" t="s">
        <v>50</v>
      </c>
      <c r="AM455" s="62" t="s">
        <v>51</v>
      </c>
      <c r="AN455" s="5"/>
      <c r="AO455" s="7"/>
    </row>
    <row r="456" spans="1:41" ht="15.75" customHeight="1" x14ac:dyDescent="0.25">
      <c r="A456" s="4">
        <v>455</v>
      </c>
      <c r="B456" s="5" t="s">
        <v>1029</v>
      </c>
      <c r="C456" s="58">
        <v>3.6</v>
      </c>
      <c r="D456" s="61" t="s">
        <v>1030</v>
      </c>
      <c r="E456" s="72" t="s">
        <v>79</v>
      </c>
      <c r="F456" s="62" t="s">
        <v>1031</v>
      </c>
      <c r="G456" s="8" t="s">
        <v>56</v>
      </c>
      <c r="H456" s="8">
        <v>1935</v>
      </c>
      <c r="I456" s="62" t="s">
        <v>142</v>
      </c>
      <c r="J456" s="62" t="s">
        <v>1032</v>
      </c>
      <c r="K456" s="62" t="s">
        <v>427</v>
      </c>
      <c r="L456" s="62" t="s">
        <v>60</v>
      </c>
      <c r="M456" s="62" t="s">
        <v>1033</v>
      </c>
      <c r="N456" s="5">
        <v>0</v>
      </c>
      <c r="O456" s="8">
        <v>0</v>
      </c>
      <c r="P456" s="69">
        <v>54000</v>
      </c>
      <c r="Q456" s="69">
        <v>92000</v>
      </c>
      <c r="R456" s="69">
        <v>73000</v>
      </c>
      <c r="S456" s="62" t="s">
        <v>85</v>
      </c>
      <c r="T456" s="8">
        <f t="shared" si="22"/>
        <v>88</v>
      </c>
      <c r="U456" s="8">
        <v>0</v>
      </c>
      <c r="V456" s="8">
        <v>0</v>
      </c>
      <c r="W456" s="8">
        <v>1</v>
      </c>
      <c r="X456" s="8">
        <v>1</v>
      </c>
      <c r="Y456" s="8">
        <v>1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1</v>
      </c>
      <c r="AG456" s="8">
        <v>1</v>
      </c>
      <c r="AH456" s="8">
        <v>0</v>
      </c>
      <c r="AI456" s="8">
        <v>0</v>
      </c>
      <c r="AJ456" s="8">
        <v>0</v>
      </c>
      <c r="AK456" s="62" t="s">
        <v>132</v>
      </c>
      <c r="AL456" s="62" t="s">
        <v>50</v>
      </c>
      <c r="AM456" s="62" t="s">
        <v>77</v>
      </c>
      <c r="AN456" s="5"/>
      <c r="AO456" s="7"/>
    </row>
    <row r="457" spans="1:41" ht="15.75" customHeight="1" x14ac:dyDescent="0.25">
      <c r="A457" s="4">
        <v>456</v>
      </c>
      <c r="B457" s="5" t="s">
        <v>39</v>
      </c>
      <c r="C457" s="58">
        <v>3.5</v>
      </c>
      <c r="D457" s="61" t="s">
        <v>1034</v>
      </c>
      <c r="E457" s="72" t="s">
        <v>79</v>
      </c>
      <c r="F457" s="62" t="s">
        <v>511</v>
      </c>
      <c r="G457" s="8" t="s">
        <v>56</v>
      </c>
      <c r="H457" s="8">
        <v>2016</v>
      </c>
      <c r="I457" s="62" t="s">
        <v>89</v>
      </c>
      <c r="J457" s="62" t="s">
        <v>100</v>
      </c>
      <c r="K457" s="62" t="s">
        <v>65</v>
      </c>
      <c r="L457" s="62" t="s">
        <v>60</v>
      </c>
      <c r="M457" s="62" t="s">
        <v>1035</v>
      </c>
      <c r="N457" s="5">
        <v>0</v>
      </c>
      <c r="O457" s="8">
        <v>0</v>
      </c>
      <c r="P457" s="69">
        <v>61000</v>
      </c>
      <c r="Q457" s="69">
        <v>100000</v>
      </c>
      <c r="R457" s="69">
        <v>80500</v>
      </c>
      <c r="S457" s="62" t="s">
        <v>85</v>
      </c>
      <c r="T457" s="8">
        <f t="shared" si="22"/>
        <v>7</v>
      </c>
      <c r="U457" s="8">
        <v>1</v>
      </c>
      <c r="V457" s="8">
        <v>0</v>
      </c>
      <c r="W457" s="8">
        <v>1</v>
      </c>
      <c r="X457" s="8">
        <v>0</v>
      </c>
      <c r="Y457" s="8">
        <v>1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62" t="s">
        <v>49</v>
      </c>
      <c r="AL457" s="62" t="s">
        <v>50</v>
      </c>
      <c r="AM457" s="62" t="s">
        <v>51</v>
      </c>
      <c r="AN457" s="5"/>
      <c r="AO457" s="7"/>
    </row>
    <row r="458" spans="1:41" ht="15.75" customHeight="1" x14ac:dyDescent="0.25">
      <c r="A458" s="4">
        <v>457</v>
      </c>
      <c r="B458" s="5" t="s">
        <v>39</v>
      </c>
      <c r="C458" s="58">
        <v>0</v>
      </c>
      <c r="D458" s="61" t="s">
        <v>1036</v>
      </c>
      <c r="E458" s="72" t="s">
        <v>79</v>
      </c>
      <c r="F458" s="62" t="s">
        <v>1037</v>
      </c>
      <c r="G458" s="8">
        <v>500</v>
      </c>
      <c r="H458" s="8" t="s">
        <v>47</v>
      </c>
      <c r="I458" s="62" t="s">
        <v>44</v>
      </c>
      <c r="J458" s="62" t="s">
        <v>47</v>
      </c>
      <c r="K458" s="62" t="s">
        <v>47</v>
      </c>
      <c r="L458" s="62" t="s">
        <v>83</v>
      </c>
      <c r="M458" s="62" t="s">
        <v>47</v>
      </c>
      <c r="N458" s="5">
        <v>0</v>
      </c>
      <c r="O458" s="8">
        <v>0</v>
      </c>
      <c r="P458" s="69">
        <v>81000</v>
      </c>
      <c r="Q458" s="69">
        <v>140000</v>
      </c>
      <c r="R458" s="69">
        <v>110500</v>
      </c>
      <c r="S458" s="62" t="s">
        <v>85</v>
      </c>
      <c r="T458" s="8" t="s">
        <v>47</v>
      </c>
      <c r="U458" s="8">
        <v>1</v>
      </c>
      <c r="V458" s="8">
        <v>0</v>
      </c>
      <c r="W458" s="8">
        <v>0</v>
      </c>
      <c r="X458" s="8">
        <v>0</v>
      </c>
      <c r="Y458" s="8">
        <v>1</v>
      </c>
      <c r="Z458" s="8">
        <v>0</v>
      </c>
      <c r="AA458" s="8">
        <v>0</v>
      </c>
      <c r="AB458" s="8">
        <v>0</v>
      </c>
      <c r="AC458" s="8">
        <v>0</v>
      </c>
      <c r="AD458" s="8">
        <v>1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62" t="s">
        <v>49</v>
      </c>
      <c r="AL458" s="62" t="s">
        <v>50</v>
      </c>
      <c r="AM458" s="62" t="s">
        <v>51</v>
      </c>
      <c r="AN458" s="5"/>
      <c r="AO458" s="7"/>
    </row>
    <row r="459" spans="1:41" ht="15.75" customHeight="1" x14ac:dyDescent="0.25">
      <c r="A459" s="4">
        <v>458</v>
      </c>
      <c r="B459" s="5" t="s">
        <v>822</v>
      </c>
      <c r="C459" s="58">
        <v>2.9</v>
      </c>
      <c r="D459" s="61" t="s">
        <v>78</v>
      </c>
      <c r="E459" s="72" t="s">
        <v>98</v>
      </c>
      <c r="F459" s="62" t="s">
        <v>80</v>
      </c>
      <c r="G459" s="8" t="s">
        <v>81</v>
      </c>
      <c r="H459" s="8">
        <v>1998</v>
      </c>
      <c r="I459" s="62" t="s">
        <v>44</v>
      </c>
      <c r="J459" s="62" t="s">
        <v>82</v>
      </c>
      <c r="K459" s="62" t="s">
        <v>65</v>
      </c>
      <c r="L459" s="62" t="s">
        <v>83</v>
      </c>
      <c r="M459" s="62" t="s">
        <v>84</v>
      </c>
      <c r="N459" s="5">
        <v>0</v>
      </c>
      <c r="O459" s="8">
        <v>0</v>
      </c>
      <c r="P459" s="69">
        <v>80000</v>
      </c>
      <c r="Q459" s="69">
        <v>148000</v>
      </c>
      <c r="R459" s="69">
        <v>114000</v>
      </c>
      <c r="S459" s="62" t="s">
        <v>102</v>
      </c>
      <c r="T459" s="8">
        <f>2023-H459</f>
        <v>25</v>
      </c>
      <c r="U459" s="8">
        <v>1</v>
      </c>
      <c r="V459" s="8">
        <v>1</v>
      </c>
      <c r="W459" s="8">
        <v>0</v>
      </c>
      <c r="X459" s="8">
        <v>0</v>
      </c>
      <c r="Y459" s="8">
        <v>1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1</v>
      </c>
      <c r="AG459" s="8">
        <v>0</v>
      </c>
      <c r="AH459" s="8">
        <v>0</v>
      </c>
      <c r="AI459" s="8">
        <v>0</v>
      </c>
      <c r="AJ459" s="8">
        <v>0</v>
      </c>
      <c r="AK459" s="62" t="s">
        <v>146</v>
      </c>
      <c r="AL459" s="62" t="s">
        <v>50</v>
      </c>
      <c r="AM459" s="62" t="s">
        <v>51</v>
      </c>
      <c r="AN459" s="5"/>
      <c r="AO459" s="7"/>
    </row>
    <row r="460" spans="1:41" ht="15.75" customHeight="1" x14ac:dyDescent="0.25">
      <c r="A460" s="4">
        <v>459</v>
      </c>
      <c r="B460" s="5" t="s">
        <v>39</v>
      </c>
      <c r="C460" s="58">
        <v>3.5</v>
      </c>
      <c r="D460" s="61" t="s">
        <v>1038</v>
      </c>
      <c r="E460" s="72" t="s">
        <v>1039</v>
      </c>
      <c r="F460" s="62" t="s">
        <v>1040</v>
      </c>
      <c r="G460" s="8" t="s">
        <v>81</v>
      </c>
      <c r="H460" s="8" t="s">
        <v>47</v>
      </c>
      <c r="I460" s="62" t="s">
        <v>44</v>
      </c>
      <c r="J460" s="62" t="s">
        <v>1041</v>
      </c>
      <c r="K460" s="62" t="s">
        <v>1042</v>
      </c>
      <c r="L460" s="62" t="s">
        <v>318</v>
      </c>
      <c r="M460" s="62" t="s">
        <v>47</v>
      </c>
      <c r="N460" s="5">
        <v>0</v>
      </c>
      <c r="O460" s="8">
        <v>0</v>
      </c>
      <c r="P460" s="69">
        <v>108000</v>
      </c>
      <c r="Q460" s="69">
        <v>171000</v>
      </c>
      <c r="R460" s="69">
        <v>139500</v>
      </c>
      <c r="S460" s="62" t="s">
        <v>102</v>
      </c>
      <c r="T460" s="8" t="s">
        <v>47</v>
      </c>
      <c r="U460" s="8">
        <v>1</v>
      </c>
      <c r="V460" s="8">
        <v>0</v>
      </c>
      <c r="W460" s="8">
        <v>0</v>
      </c>
      <c r="X460" s="8">
        <v>0</v>
      </c>
      <c r="Y460" s="8">
        <v>1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62" t="s">
        <v>49</v>
      </c>
      <c r="AL460" s="62" t="s">
        <v>50</v>
      </c>
      <c r="AM460" s="62" t="s">
        <v>77</v>
      </c>
      <c r="AN460" s="5"/>
      <c r="AO460" s="7"/>
    </row>
    <row r="461" spans="1:41" ht="15.75" customHeight="1" x14ac:dyDescent="0.25">
      <c r="A461" s="4">
        <v>460</v>
      </c>
      <c r="B461" s="5" t="s">
        <v>39</v>
      </c>
      <c r="C461" s="58">
        <v>4.8</v>
      </c>
      <c r="D461" s="61" t="s">
        <v>1043</v>
      </c>
      <c r="E461" s="72" t="s">
        <v>79</v>
      </c>
      <c r="F461" s="62" t="s">
        <v>1044</v>
      </c>
      <c r="G461" s="8">
        <v>500</v>
      </c>
      <c r="H461" s="8">
        <v>2011</v>
      </c>
      <c r="I461" s="62" t="s">
        <v>44</v>
      </c>
      <c r="J461" s="62" t="s">
        <v>213</v>
      </c>
      <c r="K461" s="62" t="s">
        <v>111</v>
      </c>
      <c r="L461" s="62" t="s">
        <v>83</v>
      </c>
      <c r="M461" s="62" t="s">
        <v>47</v>
      </c>
      <c r="N461" s="5">
        <v>0</v>
      </c>
      <c r="O461" s="8">
        <v>0</v>
      </c>
      <c r="P461" s="69">
        <v>112000</v>
      </c>
      <c r="Q461" s="69">
        <v>179000</v>
      </c>
      <c r="R461" s="69">
        <v>145500</v>
      </c>
      <c r="S461" s="62" t="s">
        <v>85</v>
      </c>
      <c r="T461" s="8">
        <f t="shared" ref="T461:T466" si="23">2023-H461</f>
        <v>12</v>
      </c>
      <c r="U461" s="8">
        <v>1</v>
      </c>
      <c r="V461" s="8">
        <v>0</v>
      </c>
      <c r="W461" s="8">
        <v>0</v>
      </c>
      <c r="X461" s="8">
        <v>1</v>
      </c>
      <c r="Y461" s="8">
        <v>1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1</v>
      </c>
      <c r="AG461" s="8">
        <v>0</v>
      </c>
      <c r="AH461" s="8">
        <v>0</v>
      </c>
      <c r="AI461" s="8">
        <v>0</v>
      </c>
      <c r="AJ461" s="8">
        <v>0</v>
      </c>
      <c r="AK461" s="62" t="s">
        <v>49</v>
      </c>
      <c r="AL461" s="62" t="s">
        <v>50</v>
      </c>
      <c r="AM461" s="62" t="s">
        <v>77</v>
      </c>
      <c r="AN461" s="5"/>
      <c r="AO461" s="7"/>
    </row>
    <row r="462" spans="1:41" ht="15.75" customHeight="1" x14ac:dyDescent="0.25">
      <c r="A462" s="4">
        <v>461</v>
      </c>
      <c r="B462" s="5" t="s">
        <v>39</v>
      </c>
      <c r="C462" s="58">
        <v>4</v>
      </c>
      <c r="D462" s="61" t="s">
        <v>1045</v>
      </c>
      <c r="E462" s="72" t="s">
        <v>79</v>
      </c>
      <c r="F462" s="62" t="s">
        <v>80</v>
      </c>
      <c r="G462" s="8" t="s">
        <v>88</v>
      </c>
      <c r="H462" s="8">
        <v>2007</v>
      </c>
      <c r="I462" s="62" t="s">
        <v>44</v>
      </c>
      <c r="J462" s="62" t="s">
        <v>613</v>
      </c>
      <c r="K462" s="62" t="s">
        <v>96</v>
      </c>
      <c r="L462" s="62" t="s">
        <v>66</v>
      </c>
      <c r="M462" s="62" t="s">
        <v>1046</v>
      </c>
      <c r="N462" s="5">
        <v>0</v>
      </c>
      <c r="O462" s="8">
        <v>0</v>
      </c>
      <c r="P462" s="69">
        <v>63000</v>
      </c>
      <c r="Q462" s="69">
        <v>111000</v>
      </c>
      <c r="R462" s="69">
        <v>87000</v>
      </c>
      <c r="S462" s="62" t="s">
        <v>85</v>
      </c>
      <c r="T462" s="8">
        <f t="shared" si="23"/>
        <v>16</v>
      </c>
      <c r="U462" s="8">
        <v>0</v>
      </c>
      <c r="V462" s="8">
        <v>0</v>
      </c>
      <c r="W462" s="8">
        <v>0</v>
      </c>
      <c r="X462" s="8">
        <v>1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62" t="s">
        <v>49</v>
      </c>
      <c r="AL462" s="62" t="s">
        <v>50</v>
      </c>
      <c r="AM462" s="62" t="s">
        <v>77</v>
      </c>
      <c r="AN462" s="5"/>
      <c r="AO462" s="7"/>
    </row>
    <row r="463" spans="1:41" ht="15.75" customHeight="1" x14ac:dyDescent="0.25">
      <c r="A463" s="4">
        <v>462</v>
      </c>
      <c r="B463" s="5" t="s">
        <v>39</v>
      </c>
      <c r="C463" s="58">
        <v>4.2</v>
      </c>
      <c r="D463" s="61" t="s">
        <v>1047</v>
      </c>
      <c r="E463" s="72" t="s">
        <v>1048</v>
      </c>
      <c r="F463" s="62" t="s">
        <v>1048</v>
      </c>
      <c r="G463" s="8" t="s">
        <v>88</v>
      </c>
      <c r="H463" s="8">
        <v>1885</v>
      </c>
      <c r="I463" s="62" t="s">
        <v>44</v>
      </c>
      <c r="J463" s="62" t="s">
        <v>95</v>
      </c>
      <c r="K463" s="62" t="s">
        <v>96</v>
      </c>
      <c r="L463" s="62" t="s">
        <v>46</v>
      </c>
      <c r="M463" s="62" t="s">
        <v>47</v>
      </c>
      <c r="N463" s="5">
        <v>0</v>
      </c>
      <c r="O463" s="8">
        <v>0</v>
      </c>
      <c r="P463" s="69">
        <v>75000</v>
      </c>
      <c r="Q463" s="69">
        <v>126000</v>
      </c>
      <c r="R463" s="69">
        <v>100500</v>
      </c>
      <c r="S463" s="62" t="s">
        <v>138</v>
      </c>
      <c r="T463" s="8">
        <f t="shared" si="23"/>
        <v>138</v>
      </c>
      <c r="U463" s="8">
        <v>0</v>
      </c>
      <c r="V463" s="8">
        <v>0</v>
      </c>
      <c r="W463" s="8">
        <v>0</v>
      </c>
      <c r="X463" s="8">
        <v>1</v>
      </c>
      <c r="Y463" s="8">
        <v>1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62" t="s">
        <v>49</v>
      </c>
      <c r="AL463" s="62" t="s">
        <v>50</v>
      </c>
      <c r="AM463" s="62" t="s">
        <v>51</v>
      </c>
      <c r="AN463" s="5"/>
      <c r="AO463" s="7"/>
    </row>
    <row r="464" spans="1:41" ht="15.75" customHeight="1" x14ac:dyDescent="0.25">
      <c r="A464" s="4">
        <v>463</v>
      </c>
      <c r="B464" s="5" t="s">
        <v>1049</v>
      </c>
      <c r="C464" s="58">
        <v>3.8</v>
      </c>
      <c r="D464" s="61" t="s">
        <v>1050</v>
      </c>
      <c r="E464" s="72" t="s">
        <v>79</v>
      </c>
      <c r="F464" s="62" t="s">
        <v>1051</v>
      </c>
      <c r="G464" s="8" t="s">
        <v>56</v>
      </c>
      <c r="H464" s="8">
        <v>1967</v>
      </c>
      <c r="I464" s="62" t="s">
        <v>89</v>
      </c>
      <c r="J464" s="62" t="s">
        <v>155</v>
      </c>
      <c r="K464" s="62" t="s">
        <v>111</v>
      </c>
      <c r="L464" s="62" t="s">
        <v>128</v>
      </c>
      <c r="M464" s="62" t="s">
        <v>1052</v>
      </c>
      <c r="N464" s="5">
        <v>0</v>
      </c>
      <c r="O464" s="8">
        <v>0</v>
      </c>
      <c r="P464" s="69">
        <v>110000</v>
      </c>
      <c r="Q464" s="69">
        <v>184000</v>
      </c>
      <c r="R464" s="69">
        <v>147000</v>
      </c>
      <c r="S464" s="62" t="s">
        <v>85</v>
      </c>
      <c r="T464" s="8">
        <f t="shared" si="23"/>
        <v>56</v>
      </c>
      <c r="U464" s="8">
        <v>1</v>
      </c>
      <c r="V464" s="8">
        <v>1</v>
      </c>
      <c r="W464" s="8">
        <v>0</v>
      </c>
      <c r="X464" s="8">
        <v>1</v>
      </c>
      <c r="Y464" s="8">
        <v>1</v>
      </c>
      <c r="Z464" s="8">
        <v>1</v>
      </c>
      <c r="AA464" s="8">
        <v>0</v>
      </c>
      <c r="AB464" s="8">
        <v>0</v>
      </c>
      <c r="AC464" s="8">
        <v>1</v>
      </c>
      <c r="AD464" s="8">
        <v>0</v>
      </c>
      <c r="AE464" s="8">
        <v>1</v>
      </c>
      <c r="AF464" s="8">
        <v>0</v>
      </c>
      <c r="AG464" s="8">
        <v>0</v>
      </c>
      <c r="AH464" s="8">
        <v>0</v>
      </c>
      <c r="AI464" s="8">
        <v>1</v>
      </c>
      <c r="AJ464" s="8">
        <v>0</v>
      </c>
      <c r="AK464" s="62" t="s">
        <v>49</v>
      </c>
      <c r="AL464" s="62" t="s">
        <v>50</v>
      </c>
      <c r="AM464" s="62" t="s">
        <v>51</v>
      </c>
      <c r="AN464" s="5"/>
      <c r="AO464" s="7"/>
    </row>
    <row r="465" spans="1:41" ht="15.75" customHeight="1" x14ac:dyDescent="0.25">
      <c r="A465" s="4">
        <v>464</v>
      </c>
      <c r="B465" s="5" t="s">
        <v>224</v>
      </c>
      <c r="C465" s="58">
        <v>3.7</v>
      </c>
      <c r="D465" s="61" t="s">
        <v>1053</v>
      </c>
      <c r="E465" s="72" t="s">
        <v>79</v>
      </c>
      <c r="F465" s="62" t="s">
        <v>80</v>
      </c>
      <c r="G465" s="8" t="s">
        <v>88</v>
      </c>
      <c r="H465" s="8">
        <v>1914</v>
      </c>
      <c r="I465" s="62" t="s">
        <v>44</v>
      </c>
      <c r="J465" s="62" t="s">
        <v>161</v>
      </c>
      <c r="K465" s="62" t="s">
        <v>162</v>
      </c>
      <c r="L465" s="62" t="s">
        <v>66</v>
      </c>
      <c r="M465" s="62" t="s">
        <v>1054</v>
      </c>
      <c r="N465" s="5">
        <v>0</v>
      </c>
      <c r="O465" s="8">
        <v>0</v>
      </c>
      <c r="P465" s="69">
        <v>76000</v>
      </c>
      <c r="Q465" s="69">
        <v>145000</v>
      </c>
      <c r="R465" s="69">
        <v>110500</v>
      </c>
      <c r="S465" s="62" t="s">
        <v>85</v>
      </c>
      <c r="T465" s="8">
        <f t="shared" si="23"/>
        <v>109</v>
      </c>
      <c r="U465" s="8">
        <v>1</v>
      </c>
      <c r="V465" s="8">
        <v>0</v>
      </c>
      <c r="W465" s="8">
        <v>0</v>
      </c>
      <c r="X465" s="8">
        <v>1</v>
      </c>
      <c r="Y465" s="8">
        <v>1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62" t="s">
        <v>146</v>
      </c>
      <c r="AL465" s="62" t="s">
        <v>50</v>
      </c>
      <c r="AM465" s="62" t="s">
        <v>51</v>
      </c>
      <c r="AN465" s="5"/>
      <c r="AO465" s="7"/>
    </row>
    <row r="466" spans="1:41" ht="15.75" customHeight="1" x14ac:dyDescent="0.25">
      <c r="A466" s="4">
        <v>465</v>
      </c>
      <c r="B466" s="5" t="s">
        <v>644</v>
      </c>
      <c r="C466" s="58">
        <v>3.9</v>
      </c>
      <c r="D466" s="61" t="s">
        <v>823</v>
      </c>
      <c r="E466" s="72" t="s">
        <v>824</v>
      </c>
      <c r="F466" s="62" t="s">
        <v>824</v>
      </c>
      <c r="G466" s="8" t="s">
        <v>43</v>
      </c>
      <c r="H466" s="8">
        <v>1937</v>
      </c>
      <c r="I466" s="62" t="s">
        <v>160</v>
      </c>
      <c r="J466" s="62" t="s">
        <v>95</v>
      </c>
      <c r="K466" s="62" t="s">
        <v>96</v>
      </c>
      <c r="L466" s="62" t="s">
        <v>83</v>
      </c>
      <c r="M466" s="62" t="s">
        <v>825</v>
      </c>
      <c r="N466" s="5">
        <v>0</v>
      </c>
      <c r="O466" s="8">
        <v>0</v>
      </c>
      <c r="P466" s="69">
        <v>36000</v>
      </c>
      <c r="Q466" s="69">
        <v>62000</v>
      </c>
      <c r="R466" s="69">
        <v>49000</v>
      </c>
      <c r="S466" s="62" t="s">
        <v>305</v>
      </c>
      <c r="T466" s="8">
        <f t="shared" si="23"/>
        <v>86</v>
      </c>
      <c r="U466" s="8">
        <v>1</v>
      </c>
      <c r="V466" s="8">
        <v>0</v>
      </c>
      <c r="W466" s="8">
        <v>0</v>
      </c>
      <c r="X466" s="8">
        <v>0</v>
      </c>
      <c r="Y466" s="8">
        <v>1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1</v>
      </c>
      <c r="AG466" s="8">
        <v>1</v>
      </c>
      <c r="AH466" s="8">
        <v>0</v>
      </c>
      <c r="AI466" s="8">
        <v>0</v>
      </c>
      <c r="AJ466" s="8">
        <v>0</v>
      </c>
      <c r="AK466" s="62" t="s">
        <v>132</v>
      </c>
      <c r="AL466" s="62" t="s">
        <v>50</v>
      </c>
      <c r="AM466" s="62" t="s">
        <v>77</v>
      </c>
      <c r="AN466" s="5"/>
      <c r="AO466" s="7"/>
    </row>
    <row r="467" spans="1:41" ht="15.75" customHeight="1" x14ac:dyDescent="0.25">
      <c r="A467" s="4">
        <v>466</v>
      </c>
      <c r="B467" s="5" t="s">
        <v>39</v>
      </c>
      <c r="C467" s="58">
        <v>4.5999999999999996</v>
      </c>
      <c r="D467" s="61" t="s">
        <v>1055</v>
      </c>
      <c r="E467" s="72" t="s">
        <v>782</v>
      </c>
      <c r="F467" s="62" t="s">
        <v>1056</v>
      </c>
      <c r="G467" s="8" t="s">
        <v>81</v>
      </c>
      <c r="H467" s="8" t="s">
        <v>47</v>
      </c>
      <c r="I467" s="62" t="s">
        <v>44</v>
      </c>
      <c r="J467" s="62" t="s">
        <v>100</v>
      </c>
      <c r="K467" s="62" t="s">
        <v>65</v>
      </c>
      <c r="L467" s="62" t="s">
        <v>318</v>
      </c>
      <c r="M467" s="62" t="s">
        <v>47</v>
      </c>
      <c r="N467" s="5">
        <v>0</v>
      </c>
      <c r="O467" s="8">
        <v>0</v>
      </c>
      <c r="P467" s="69">
        <v>70000</v>
      </c>
      <c r="Q467" s="69">
        <v>118000</v>
      </c>
      <c r="R467" s="69">
        <v>94000</v>
      </c>
      <c r="S467" s="62" t="s">
        <v>138</v>
      </c>
      <c r="T467" s="8" t="s">
        <v>47</v>
      </c>
      <c r="U467" s="8">
        <v>1</v>
      </c>
      <c r="V467" s="8">
        <v>1</v>
      </c>
      <c r="W467" s="8">
        <v>1</v>
      </c>
      <c r="X467" s="8">
        <v>0</v>
      </c>
      <c r="Y467" s="8">
        <v>1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1</v>
      </c>
      <c r="AF467" s="8">
        <v>1</v>
      </c>
      <c r="AG467" s="8">
        <v>1</v>
      </c>
      <c r="AH467" s="8">
        <v>0</v>
      </c>
      <c r="AI467" s="8">
        <v>0</v>
      </c>
      <c r="AJ467" s="8">
        <v>0</v>
      </c>
      <c r="AK467" s="62" t="s">
        <v>49</v>
      </c>
      <c r="AL467" s="62" t="s">
        <v>50</v>
      </c>
      <c r="AM467" s="62" t="s">
        <v>51</v>
      </c>
      <c r="AN467" s="5"/>
      <c r="AO467" s="7"/>
    </row>
    <row r="468" spans="1:41" ht="15.75" customHeight="1" x14ac:dyDescent="0.25">
      <c r="A468" s="4">
        <v>467</v>
      </c>
      <c r="B468" s="5" t="s">
        <v>220</v>
      </c>
      <c r="C468" s="58">
        <v>4.3</v>
      </c>
      <c r="D468" s="61" t="s">
        <v>1057</v>
      </c>
      <c r="E468" s="72" t="s">
        <v>79</v>
      </c>
      <c r="F468" s="62" t="s">
        <v>80</v>
      </c>
      <c r="G468" s="8" t="s">
        <v>70</v>
      </c>
      <c r="H468" s="8">
        <v>1999</v>
      </c>
      <c r="I468" s="62" t="s">
        <v>89</v>
      </c>
      <c r="J468" s="62" t="s">
        <v>155</v>
      </c>
      <c r="K468" s="62" t="s">
        <v>111</v>
      </c>
      <c r="L468" s="62" t="s">
        <v>74</v>
      </c>
      <c r="M468" s="62" t="s">
        <v>1058</v>
      </c>
      <c r="N468" s="5">
        <v>0</v>
      </c>
      <c r="O468" s="8">
        <v>0</v>
      </c>
      <c r="P468" s="69">
        <v>94000</v>
      </c>
      <c r="Q468" s="69">
        <v>153000</v>
      </c>
      <c r="R468" s="69">
        <v>123500</v>
      </c>
      <c r="S468" s="62" t="s">
        <v>85</v>
      </c>
      <c r="T468" s="8">
        <f t="shared" ref="T468:T494" si="24">2023-H468</f>
        <v>24</v>
      </c>
      <c r="U468" s="8">
        <v>1</v>
      </c>
      <c r="V468" s="8">
        <v>0</v>
      </c>
      <c r="W468" s="8">
        <v>1</v>
      </c>
      <c r="X468" s="8">
        <v>0</v>
      </c>
      <c r="Y468" s="8">
        <v>1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62" t="s">
        <v>49</v>
      </c>
      <c r="AL468" s="62" t="s">
        <v>169</v>
      </c>
      <c r="AM468" s="62" t="s">
        <v>51</v>
      </c>
      <c r="AN468" s="5"/>
      <c r="AO468" s="7"/>
    </row>
    <row r="469" spans="1:41" ht="15.75" customHeight="1" x14ac:dyDescent="0.25">
      <c r="A469" s="4">
        <v>468</v>
      </c>
      <c r="B469" s="5" t="s">
        <v>640</v>
      </c>
      <c r="C469" s="58">
        <v>3.3</v>
      </c>
      <c r="D469" s="61" t="s">
        <v>104</v>
      </c>
      <c r="E469" s="72" t="s">
        <v>105</v>
      </c>
      <c r="F469" s="62" t="s">
        <v>105</v>
      </c>
      <c r="G469" s="8" t="s">
        <v>56</v>
      </c>
      <c r="H469" s="8">
        <v>2014</v>
      </c>
      <c r="I469" s="62" t="s">
        <v>106</v>
      </c>
      <c r="J469" s="62" t="s">
        <v>58</v>
      </c>
      <c r="K469" s="62" t="s">
        <v>59</v>
      </c>
      <c r="L469" s="62" t="s">
        <v>74</v>
      </c>
      <c r="M469" s="62" t="s">
        <v>47</v>
      </c>
      <c r="N469" s="5">
        <v>0</v>
      </c>
      <c r="O469" s="8">
        <v>0</v>
      </c>
      <c r="P469" s="69">
        <v>54000</v>
      </c>
      <c r="Q469" s="69">
        <v>115000</v>
      </c>
      <c r="R469" s="69">
        <v>84500</v>
      </c>
      <c r="S469" s="62" t="s">
        <v>85</v>
      </c>
      <c r="T469" s="8">
        <f t="shared" si="24"/>
        <v>9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62" t="s">
        <v>107</v>
      </c>
      <c r="AL469" s="62" t="s">
        <v>169</v>
      </c>
      <c r="AM469" s="62" t="s">
        <v>108</v>
      </c>
      <c r="AN469" s="5"/>
      <c r="AO469" s="7"/>
    </row>
    <row r="470" spans="1:41" ht="15.75" customHeight="1" x14ac:dyDescent="0.25">
      <c r="A470" s="4">
        <v>469</v>
      </c>
      <c r="B470" s="5" t="s">
        <v>130</v>
      </c>
      <c r="C470" s="58">
        <v>3.7</v>
      </c>
      <c r="D470" s="61" t="s">
        <v>826</v>
      </c>
      <c r="E470" s="72" t="s">
        <v>244</v>
      </c>
      <c r="F470" s="62" t="s">
        <v>244</v>
      </c>
      <c r="G470" s="8" t="s">
        <v>43</v>
      </c>
      <c r="H470" s="8">
        <v>1989</v>
      </c>
      <c r="I470" s="62" t="s">
        <v>44</v>
      </c>
      <c r="J470" s="62" t="s">
        <v>213</v>
      </c>
      <c r="K470" s="62" t="s">
        <v>111</v>
      </c>
      <c r="L470" s="62" t="s">
        <v>66</v>
      </c>
      <c r="M470" s="62" t="s">
        <v>827</v>
      </c>
      <c r="N470" s="5">
        <v>0</v>
      </c>
      <c r="O470" s="8">
        <v>0</v>
      </c>
      <c r="P470" s="69">
        <v>50000</v>
      </c>
      <c r="Q470" s="69">
        <v>92000</v>
      </c>
      <c r="R470" s="69">
        <v>71000</v>
      </c>
      <c r="S470" s="62" t="s">
        <v>122</v>
      </c>
      <c r="T470" s="8">
        <f t="shared" si="24"/>
        <v>34</v>
      </c>
      <c r="U470" s="8">
        <v>0</v>
      </c>
      <c r="V470" s="8">
        <v>0</v>
      </c>
      <c r="W470" s="8">
        <v>0</v>
      </c>
      <c r="X470" s="8">
        <v>1</v>
      </c>
      <c r="Y470" s="8">
        <v>1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1</v>
      </c>
      <c r="AG470" s="8">
        <v>1</v>
      </c>
      <c r="AH470" s="8">
        <v>0</v>
      </c>
      <c r="AI470" s="8">
        <v>0</v>
      </c>
      <c r="AJ470" s="8">
        <v>0</v>
      </c>
      <c r="AK470" s="62" t="s">
        <v>132</v>
      </c>
      <c r="AL470" s="62" t="s">
        <v>50</v>
      </c>
      <c r="AM470" s="62" t="s">
        <v>77</v>
      </c>
      <c r="AN470" s="5"/>
      <c r="AO470" s="7"/>
    </row>
    <row r="471" spans="1:41" ht="15.75" customHeight="1" x14ac:dyDescent="0.25">
      <c r="A471" s="4">
        <v>470</v>
      </c>
      <c r="B471" s="5" t="s">
        <v>1059</v>
      </c>
      <c r="C471" s="58">
        <v>4</v>
      </c>
      <c r="D471" s="61" t="s">
        <v>320</v>
      </c>
      <c r="E471" s="72" t="s">
        <v>1060</v>
      </c>
      <c r="F471" s="62" t="s">
        <v>297</v>
      </c>
      <c r="G471" s="8" t="s">
        <v>56</v>
      </c>
      <c r="H471" s="8">
        <v>1939</v>
      </c>
      <c r="I471" s="62" t="s">
        <v>89</v>
      </c>
      <c r="J471" s="62" t="s">
        <v>216</v>
      </c>
      <c r="K471" s="62" t="s">
        <v>111</v>
      </c>
      <c r="L471" s="62" t="s">
        <v>83</v>
      </c>
      <c r="M471" s="62" t="s">
        <v>47</v>
      </c>
      <c r="N471" s="5">
        <v>0</v>
      </c>
      <c r="O471" s="8">
        <v>0</v>
      </c>
      <c r="P471" s="69">
        <v>49000</v>
      </c>
      <c r="Q471" s="69">
        <v>97000</v>
      </c>
      <c r="R471" s="69">
        <v>73000</v>
      </c>
      <c r="S471" s="62" t="s">
        <v>190</v>
      </c>
      <c r="T471" s="8">
        <f t="shared" si="24"/>
        <v>84</v>
      </c>
      <c r="U471" s="8">
        <v>0</v>
      </c>
      <c r="V471" s="8">
        <v>0</v>
      </c>
      <c r="W471" s="8">
        <v>0</v>
      </c>
      <c r="X471" s="8">
        <v>0</v>
      </c>
      <c r="Y471" s="8">
        <v>1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62" t="s">
        <v>146</v>
      </c>
      <c r="AL471" s="62" t="s">
        <v>50</v>
      </c>
      <c r="AM471" s="62" t="s">
        <v>51</v>
      </c>
      <c r="AN471" s="5"/>
      <c r="AO471" s="7"/>
    </row>
    <row r="472" spans="1:41" ht="15.75" customHeight="1" x14ac:dyDescent="0.25">
      <c r="A472" s="4">
        <v>471</v>
      </c>
      <c r="B472" s="5" t="s">
        <v>828</v>
      </c>
      <c r="C472" s="58">
        <v>3.6</v>
      </c>
      <c r="D472" s="61" t="s">
        <v>550</v>
      </c>
      <c r="E472" s="72" t="s">
        <v>269</v>
      </c>
      <c r="F472" s="62" t="s">
        <v>551</v>
      </c>
      <c r="G472" s="8" t="s">
        <v>120</v>
      </c>
      <c r="H472" s="8">
        <v>1851</v>
      </c>
      <c r="I472" s="62" t="s">
        <v>44</v>
      </c>
      <c r="J472" s="62" t="s">
        <v>161</v>
      </c>
      <c r="K472" s="62" t="s">
        <v>162</v>
      </c>
      <c r="L472" s="62" t="s">
        <v>128</v>
      </c>
      <c r="M472" s="62" t="s">
        <v>47</v>
      </c>
      <c r="N472" s="5">
        <v>0</v>
      </c>
      <c r="O472" s="8">
        <v>0</v>
      </c>
      <c r="P472" s="69">
        <v>67000</v>
      </c>
      <c r="Q472" s="69">
        <v>135000</v>
      </c>
      <c r="R472" s="69">
        <v>101000</v>
      </c>
      <c r="S472" s="62" t="s">
        <v>138</v>
      </c>
      <c r="T472" s="8">
        <f t="shared" si="24"/>
        <v>172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62" t="s">
        <v>829</v>
      </c>
      <c r="AL472" s="62" t="s">
        <v>50</v>
      </c>
      <c r="AM472" s="62" t="s">
        <v>77</v>
      </c>
      <c r="AN472" s="5"/>
      <c r="AO472" s="7"/>
    </row>
    <row r="473" spans="1:41" ht="15.75" customHeight="1" x14ac:dyDescent="0.25">
      <c r="A473" s="4">
        <v>472</v>
      </c>
      <c r="B473" s="5" t="s">
        <v>637</v>
      </c>
      <c r="C473" s="58">
        <v>3.9</v>
      </c>
      <c r="D473" s="61" t="s">
        <v>638</v>
      </c>
      <c r="E473" s="72" t="s">
        <v>98</v>
      </c>
      <c r="F473" s="62" t="s">
        <v>114</v>
      </c>
      <c r="G473" s="8" t="s">
        <v>88</v>
      </c>
      <c r="H473" s="8">
        <v>2007</v>
      </c>
      <c r="I473" s="62" t="s">
        <v>44</v>
      </c>
      <c r="J473" s="62" t="s">
        <v>110</v>
      </c>
      <c r="K473" s="62" t="s">
        <v>111</v>
      </c>
      <c r="L473" s="62" t="s">
        <v>180</v>
      </c>
      <c r="M473" s="62" t="s">
        <v>639</v>
      </c>
      <c r="N473" s="5">
        <v>0</v>
      </c>
      <c r="O473" s="8">
        <v>0</v>
      </c>
      <c r="P473" s="69">
        <v>138000</v>
      </c>
      <c r="Q473" s="69">
        <v>224000</v>
      </c>
      <c r="R473" s="69">
        <v>181000</v>
      </c>
      <c r="S473" s="62" t="s">
        <v>102</v>
      </c>
      <c r="T473" s="8">
        <f t="shared" si="24"/>
        <v>16</v>
      </c>
      <c r="U473" s="8">
        <v>1</v>
      </c>
      <c r="V473" s="8">
        <v>1</v>
      </c>
      <c r="W473" s="8">
        <v>0</v>
      </c>
      <c r="X473" s="8">
        <v>0</v>
      </c>
      <c r="Y473" s="8">
        <v>1</v>
      </c>
      <c r="Z473" s="8">
        <v>0</v>
      </c>
      <c r="AA473" s="8">
        <v>0</v>
      </c>
      <c r="AB473" s="8">
        <v>0</v>
      </c>
      <c r="AC473" s="8">
        <v>1</v>
      </c>
      <c r="AD473" s="8">
        <v>1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62" t="s">
        <v>508</v>
      </c>
      <c r="AL473" s="62" t="s">
        <v>50</v>
      </c>
      <c r="AM473" s="62" t="s">
        <v>77</v>
      </c>
      <c r="AN473" s="5"/>
      <c r="AO473" s="7"/>
    </row>
    <row r="474" spans="1:41" ht="15.75" customHeight="1" x14ac:dyDescent="0.25">
      <c r="A474" s="4">
        <v>473</v>
      </c>
      <c r="B474" s="5" t="s">
        <v>39</v>
      </c>
      <c r="C474" s="58">
        <v>3.7</v>
      </c>
      <c r="D474" s="61" t="s">
        <v>279</v>
      </c>
      <c r="E474" s="72" t="s">
        <v>98</v>
      </c>
      <c r="F474" s="62" t="s">
        <v>280</v>
      </c>
      <c r="G474" s="8" t="s">
        <v>56</v>
      </c>
      <c r="H474" s="8">
        <v>1939</v>
      </c>
      <c r="I474" s="62" t="s">
        <v>89</v>
      </c>
      <c r="J474" s="62" t="s">
        <v>45</v>
      </c>
      <c r="K474" s="62" t="s">
        <v>45</v>
      </c>
      <c r="L474" s="62" t="s">
        <v>128</v>
      </c>
      <c r="M474" s="62" t="s">
        <v>47</v>
      </c>
      <c r="N474" s="5">
        <v>0</v>
      </c>
      <c r="O474" s="8">
        <v>0</v>
      </c>
      <c r="P474" s="69">
        <v>80000</v>
      </c>
      <c r="Q474" s="69">
        <v>139000</v>
      </c>
      <c r="R474" s="69">
        <v>109500</v>
      </c>
      <c r="S474" s="62" t="s">
        <v>102</v>
      </c>
      <c r="T474" s="8">
        <f t="shared" si="24"/>
        <v>84</v>
      </c>
      <c r="U474" s="8">
        <v>0</v>
      </c>
      <c r="V474" s="8">
        <v>0</v>
      </c>
      <c r="W474" s="8">
        <v>0</v>
      </c>
      <c r="X474" s="8">
        <v>1</v>
      </c>
      <c r="Y474" s="8">
        <v>1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1</v>
      </c>
      <c r="AG474" s="8">
        <v>0</v>
      </c>
      <c r="AH474" s="8">
        <v>0</v>
      </c>
      <c r="AI474" s="8">
        <v>0</v>
      </c>
      <c r="AJ474" s="8">
        <v>0</v>
      </c>
      <c r="AK474" s="62" t="s">
        <v>49</v>
      </c>
      <c r="AL474" s="62" t="s">
        <v>50</v>
      </c>
      <c r="AM474" s="62" t="s">
        <v>77</v>
      </c>
      <c r="AN474" s="5"/>
      <c r="AO474" s="7"/>
    </row>
    <row r="475" spans="1:41" ht="15.75" customHeight="1" x14ac:dyDescent="0.25">
      <c r="A475" s="4">
        <v>474</v>
      </c>
      <c r="B475" s="5" t="s">
        <v>246</v>
      </c>
      <c r="C475" s="58">
        <v>3.7</v>
      </c>
      <c r="D475" s="61" t="s">
        <v>247</v>
      </c>
      <c r="E475" s="72" t="s">
        <v>248</v>
      </c>
      <c r="F475" s="62" t="s">
        <v>249</v>
      </c>
      <c r="G475" s="8" t="s">
        <v>56</v>
      </c>
      <c r="H475" s="8">
        <v>1958</v>
      </c>
      <c r="I475" s="62" t="s">
        <v>89</v>
      </c>
      <c r="J475" s="62" t="s">
        <v>213</v>
      </c>
      <c r="K475" s="62" t="s">
        <v>111</v>
      </c>
      <c r="L475" s="62" t="s">
        <v>128</v>
      </c>
      <c r="M475" s="62" t="s">
        <v>250</v>
      </c>
      <c r="N475" s="5">
        <v>0</v>
      </c>
      <c r="O475" s="8">
        <v>0</v>
      </c>
      <c r="P475" s="69">
        <v>158000</v>
      </c>
      <c r="Q475" s="69">
        <v>211000</v>
      </c>
      <c r="R475" s="69">
        <v>184500</v>
      </c>
      <c r="S475" s="62" t="s">
        <v>76</v>
      </c>
      <c r="T475" s="8">
        <f t="shared" si="24"/>
        <v>65</v>
      </c>
      <c r="U475" s="8">
        <v>1</v>
      </c>
      <c r="V475" s="8">
        <v>0</v>
      </c>
      <c r="W475" s="8">
        <v>0</v>
      </c>
      <c r="X475" s="8">
        <v>1</v>
      </c>
      <c r="Y475" s="8">
        <v>1</v>
      </c>
      <c r="Z475" s="8">
        <v>1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1</v>
      </c>
      <c r="AG475" s="8">
        <v>0</v>
      </c>
      <c r="AH475" s="8">
        <v>0</v>
      </c>
      <c r="AI475" s="8">
        <v>0</v>
      </c>
      <c r="AJ475" s="8">
        <v>0</v>
      </c>
      <c r="AK475" s="62" t="s">
        <v>49</v>
      </c>
      <c r="AL475" s="62" t="s">
        <v>169</v>
      </c>
      <c r="AM475" s="62" t="s">
        <v>77</v>
      </c>
      <c r="AN475" s="5"/>
      <c r="AO475" s="7"/>
    </row>
    <row r="476" spans="1:41" ht="15.75" customHeight="1" x14ac:dyDescent="0.25">
      <c r="A476" s="4">
        <v>475</v>
      </c>
      <c r="B476" s="5" t="s">
        <v>1061</v>
      </c>
      <c r="C476" s="58">
        <v>3.9</v>
      </c>
      <c r="D476" s="61" t="s">
        <v>1062</v>
      </c>
      <c r="E476" s="72" t="s">
        <v>79</v>
      </c>
      <c r="F476" s="62" t="s">
        <v>80</v>
      </c>
      <c r="G476" s="8" t="s">
        <v>88</v>
      </c>
      <c r="H476" s="8">
        <v>2014</v>
      </c>
      <c r="I476" s="62" t="s">
        <v>44</v>
      </c>
      <c r="J476" s="62" t="s">
        <v>155</v>
      </c>
      <c r="K476" s="62" t="s">
        <v>111</v>
      </c>
      <c r="L476" s="62" t="s">
        <v>83</v>
      </c>
      <c r="M476" s="62" t="s">
        <v>47</v>
      </c>
      <c r="N476" s="5">
        <v>0</v>
      </c>
      <c r="O476" s="8">
        <v>0</v>
      </c>
      <c r="P476" s="69">
        <v>150000</v>
      </c>
      <c r="Q476" s="69">
        <v>180000</v>
      </c>
      <c r="R476" s="69">
        <v>165000</v>
      </c>
      <c r="S476" s="62" t="s">
        <v>85</v>
      </c>
      <c r="T476" s="8">
        <f t="shared" si="24"/>
        <v>9</v>
      </c>
      <c r="U476" s="8">
        <v>1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1</v>
      </c>
      <c r="AD476" s="8">
        <v>0</v>
      </c>
      <c r="AE476" s="8">
        <v>1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62" t="s">
        <v>49</v>
      </c>
      <c r="AL476" s="62" t="s">
        <v>169</v>
      </c>
      <c r="AM476" s="62" t="s">
        <v>51</v>
      </c>
      <c r="AN476" s="5"/>
      <c r="AO476" s="7"/>
    </row>
    <row r="477" spans="1:41" ht="15.75" customHeight="1" x14ac:dyDescent="0.25">
      <c r="A477" s="4">
        <v>476</v>
      </c>
      <c r="B477" s="5" t="s">
        <v>770</v>
      </c>
      <c r="C477" s="58">
        <v>3.7</v>
      </c>
      <c r="D477" s="61" t="s">
        <v>830</v>
      </c>
      <c r="E477" s="72" t="s">
        <v>172</v>
      </c>
      <c r="F477" s="62" t="s">
        <v>172</v>
      </c>
      <c r="G477" s="8" t="s">
        <v>56</v>
      </c>
      <c r="H477" s="8">
        <v>1928</v>
      </c>
      <c r="I477" s="62" t="s">
        <v>89</v>
      </c>
      <c r="J477" s="62" t="s">
        <v>216</v>
      </c>
      <c r="K477" s="62" t="s">
        <v>111</v>
      </c>
      <c r="L477" s="62" t="s">
        <v>194</v>
      </c>
      <c r="M477" s="62" t="s">
        <v>831</v>
      </c>
      <c r="N477" s="5">
        <v>0</v>
      </c>
      <c r="O477" s="8">
        <v>0</v>
      </c>
      <c r="P477" s="69">
        <v>42000</v>
      </c>
      <c r="Q477" s="69">
        <v>80000</v>
      </c>
      <c r="R477" s="69">
        <v>61000</v>
      </c>
      <c r="S477" s="62" t="s">
        <v>176</v>
      </c>
      <c r="T477" s="8">
        <f t="shared" si="24"/>
        <v>95</v>
      </c>
      <c r="U477" s="8">
        <v>1</v>
      </c>
      <c r="V477" s="8">
        <v>1</v>
      </c>
      <c r="W477" s="8">
        <v>0</v>
      </c>
      <c r="X477" s="8">
        <v>0</v>
      </c>
      <c r="Y477" s="8">
        <v>1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1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62" t="s">
        <v>132</v>
      </c>
      <c r="AL477" s="62" t="s">
        <v>50</v>
      </c>
      <c r="AM477" s="62" t="s">
        <v>51</v>
      </c>
      <c r="AN477" s="5"/>
      <c r="AO477" s="7"/>
    </row>
    <row r="478" spans="1:41" ht="15.75" customHeight="1" x14ac:dyDescent="0.25">
      <c r="A478" s="4">
        <v>477</v>
      </c>
      <c r="B478" s="5" t="s">
        <v>641</v>
      </c>
      <c r="C478" s="58">
        <v>4.0999999999999996</v>
      </c>
      <c r="D478" s="61" t="s">
        <v>642</v>
      </c>
      <c r="E478" s="72" t="s">
        <v>153</v>
      </c>
      <c r="F478" s="62" t="s">
        <v>154</v>
      </c>
      <c r="G478" s="8" t="s">
        <v>81</v>
      </c>
      <c r="H478" s="8">
        <v>2010</v>
      </c>
      <c r="I478" s="62" t="s">
        <v>44</v>
      </c>
      <c r="J478" s="62" t="s">
        <v>110</v>
      </c>
      <c r="K478" s="62" t="s">
        <v>111</v>
      </c>
      <c r="L478" s="62" t="s">
        <v>46</v>
      </c>
      <c r="M478" s="62" t="s">
        <v>643</v>
      </c>
      <c r="N478" s="5">
        <v>0</v>
      </c>
      <c r="O478" s="8">
        <v>0</v>
      </c>
      <c r="P478" s="69">
        <v>190000</v>
      </c>
      <c r="Q478" s="69">
        <v>220000</v>
      </c>
      <c r="R478" s="69">
        <v>205000</v>
      </c>
      <c r="S478" s="62" t="s">
        <v>102</v>
      </c>
      <c r="T478" s="8">
        <f t="shared" si="24"/>
        <v>13</v>
      </c>
      <c r="U478" s="8">
        <v>1</v>
      </c>
      <c r="V478" s="8">
        <v>1</v>
      </c>
      <c r="W478" s="8">
        <v>1</v>
      </c>
      <c r="X478" s="8">
        <v>0</v>
      </c>
      <c r="Y478" s="8">
        <v>1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62" t="s">
        <v>146</v>
      </c>
      <c r="AL478" s="62" t="s">
        <v>169</v>
      </c>
      <c r="AM478" s="62" t="s">
        <v>77</v>
      </c>
      <c r="AN478" s="5"/>
      <c r="AO478" s="7"/>
    </row>
    <row r="479" spans="1:41" ht="15.75" customHeight="1" x14ac:dyDescent="0.25">
      <c r="A479" s="4">
        <v>478</v>
      </c>
      <c r="B479" s="5" t="s">
        <v>130</v>
      </c>
      <c r="C479" s="58">
        <v>3.1</v>
      </c>
      <c r="D479" s="61" t="s">
        <v>1063</v>
      </c>
      <c r="E479" s="72" t="s">
        <v>79</v>
      </c>
      <c r="F479" s="62" t="s">
        <v>80</v>
      </c>
      <c r="G479" s="8" t="s">
        <v>70</v>
      </c>
      <c r="H479" s="8">
        <v>2006</v>
      </c>
      <c r="I479" s="62" t="s">
        <v>1064</v>
      </c>
      <c r="J479" s="62" t="s">
        <v>779</v>
      </c>
      <c r="K479" s="62" t="s">
        <v>415</v>
      </c>
      <c r="L479" s="62" t="s">
        <v>66</v>
      </c>
      <c r="M479" s="62" t="s">
        <v>47</v>
      </c>
      <c r="N479" s="5">
        <v>0</v>
      </c>
      <c r="O479" s="8">
        <v>0</v>
      </c>
      <c r="P479" s="69">
        <v>42000</v>
      </c>
      <c r="Q479" s="69">
        <v>77000</v>
      </c>
      <c r="R479" s="69">
        <v>59500</v>
      </c>
      <c r="S479" s="62" t="s">
        <v>85</v>
      </c>
      <c r="T479" s="8">
        <f t="shared" si="24"/>
        <v>17</v>
      </c>
      <c r="U479" s="8">
        <v>1</v>
      </c>
      <c r="V479" s="8">
        <v>0</v>
      </c>
      <c r="W479" s="8">
        <v>0</v>
      </c>
      <c r="X479" s="8">
        <v>1</v>
      </c>
      <c r="Y479" s="8">
        <v>1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62" t="s">
        <v>132</v>
      </c>
      <c r="AL479" s="62" t="s">
        <v>50</v>
      </c>
      <c r="AM479" s="62" t="s">
        <v>77</v>
      </c>
      <c r="AN479" s="5"/>
      <c r="AO479" s="7"/>
    </row>
    <row r="480" spans="1:41" ht="15.75" customHeight="1" x14ac:dyDescent="0.25">
      <c r="A480" s="4">
        <v>479</v>
      </c>
      <c r="B480" s="5" t="s">
        <v>832</v>
      </c>
      <c r="C480" s="58">
        <v>3.1</v>
      </c>
      <c r="D480" s="61" t="s">
        <v>833</v>
      </c>
      <c r="E480" s="72" t="s">
        <v>834</v>
      </c>
      <c r="F480" s="62" t="s">
        <v>835</v>
      </c>
      <c r="G480" s="8" t="s">
        <v>120</v>
      </c>
      <c r="H480" s="8">
        <v>1875</v>
      </c>
      <c r="I480" s="62" t="s">
        <v>44</v>
      </c>
      <c r="J480" s="62" t="s">
        <v>499</v>
      </c>
      <c r="K480" s="62" t="s">
        <v>427</v>
      </c>
      <c r="L480" s="62" t="s">
        <v>128</v>
      </c>
      <c r="M480" s="62" t="s">
        <v>47</v>
      </c>
      <c r="N480" s="5">
        <v>0</v>
      </c>
      <c r="O480" s="8">
        <v>0</v>
      </c>
      <c r="P480" s="69">
        <v>68000</v>
      </c>
      <c r="Q480" s="69">
        <v>139000</v>
      </c>
      <c r="R480" s="69">
        <v>103500</v>
      </c>
      <c r="S480" s="62" t="s">
        <v>181</v>
      </c>
      <c r="T480" s="8">
        <f t="shared" si="24"/>
        <v>148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62" t="s">
        <v>107</v>
      </c>
      <c r="AL480" s="62" t="s">
        <v>50</v>
      </c>
      <c r="AM480" s="62" t="s">
        <v>77</v>
      </c>
      <c r="AN480" s="5"/>
      <c r="AO480" s="7"/>
    </row>
    <row r="481" spans="1:41" ht="15.75" customHeight="1" x14ac:dyDescent="0.25">
      <c r="A481" s="4">
        <v>480</v>
      </c>
      <c r="B481" s="5" t="s">
        <v>837</v>
      </c>
      <c r="C481" s="58">
        <v>3</v>
      </c>
      <c r="D481" s="61" t="s">
        <v>838</v>
      </c>
      <c r="E481" s="72" t="s">
        <v>839</v>
      </c>
      <c r="F481" s="62" t="s">
        <v>840</v>
      </c>
      <c r="G481" s="8" t="s">
        <v>56</v>
      </c>
      <c r="H481" s="8">
        <v>1981</v>
      </c>
      <c r="I481" s="62" t="s">
        <v>89</v>
      </c>
      <c r="J481" s="62" t="s">
        <v>213</v>
      </c>
      <c r="K481" s="62" t="s">
        <v>111</v>
      </c>
      <c r="L481" s="62" t="s">
        <v>128</v>
      </c>
      <c r="M481" s="62" t="s">
        <v>841</v>
      </c>
      <c r="N481" s="5">
        <v>0</v>
      </c>
      <c r="O481" s="8">
        <v>0</v>
      </c>
      <c r="P481" s="69">
        <v>54000</v>
      </c>
      <c r="Q481" s="69">
        <v>71000</v>
      </c>
      <c r="R481" s="69">
        <v>62500</v>
      </c>
      <c r="S481" s="62" t="s">
        <v>197</v>
      </c>
      <c r="T481" s="8">
        <f t="shared" si="24"/>
        <v>42</v>
      </c>
      <c r="U481" s="8">
        <v>0</v>
      </c>
      <c r="V481" s="8">
        <v>0</v>
      </c>
      <c r="W481" s="8">
        <v>0</v>
      </c>
      <c r="X481" s="8">
        <v>1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62" t="s">
        <v>1291</v>
      </c>
      <c r="AL481" s="62" t="s">
        <v>50</v>
      </c>
      <c r="AM481" s="62" t="s">
        <v>77</v>
      </c>
      <c r="AN481" s="5"/>
      <c r="AO481" s="7"/>
    </row>
    <row r="482" spans="1:41" ht="15.75" customHeight="1" x14ac:dyDescent="0.25">
      <c r="A482" s="4">
        <v>481</v>
      </c>
      <c r="B482" s="5" t="s">
        <v>836</v>
      </c>
      <c r="C482" s="58">
        <v>3.6</v>
      </c>
      <c r="D482" s="61" t="s">
        <v>550</v>
      </c>
      <c r="E482" s="72" t="s">
        <v>551</v>
      </c>
      <c r="F482" s="62" t="s">
        <v>551</v>
      </c>
      <c r="G482" s="8" t="s">
        <v>120</v>
      </c>
      <c r="H482" s="8">
        <v>1851</v>
      </c>
      <c r="I482" s="62" t="s">
        <v>44</v>
      </c>
      <c r="J482" s="62" t="s">
        <v>161</v>
      </c>
      <c r="K482" s="62" t="s">
        <v>162</v>
      </c>
      <c r="L482" s="62" t="s">
        <v>128</v>
      </c>
      <c r="M482" s="62" t="s">
        <v>47</v>
      </c>
      <c r="N482" s="5">
        <v>0</v>
      </c>
      <c r="O482" s="8">
        <v>0</v>
      </c>
      <c r="P482" s="69">
        <v>34000</v>
      </c>
      <c r="Q482" s="69">
        <v>92000</v>
      </c>
      <c r="R482" s="69">
        <v>63000</v>
      </c>
      <c r="S482" s="62" t="s">
        <v>138</v>
      </c>
      <c r="T482" s="8">
        <f t="shared" si="24"/>
        <v>172</v>
      </c>
      <c r="U482" s="8">
        <v>0</v>
      </c>
      <c r="V482" s="8">
        <v>0</v>
      </c>
      <c r="W482" s="8">
        <v>0</v>
      </c>
      <c r="X482" s="8">
        <v>1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62" t="s">
        <v>486</v>
      </c>
      <c r="AL482" s="62" t="s">
        <v>50</v>
      </c>
      <c r="AM482" s="62" t="s">
        <v>51</v>
      </c>
      <c r="AN482" s="5"/>
      <c r="AO482" s="7"/>
    </row>
    <row r="483" spans="1:41" ht="15.75" customHeight="1" x14ac:dyDescent="0.25">
      <c r="A483" s="4">
        <v>482</v>
      </c>
      <c r="B483" s="5" t="s">
        <v>130</v>
      </c>
      <c r="C483" s="58">
        <v>3.6</v>
      </c>
      <c r="D483" s="61" t="s">
        <v>1065</v>
      </c>
      <c r="E483" s="72" t="s">
        <v>79</v>
      </c>
      <c r="F483" s="62" t="s">
        <v>80</v>
      </c>
      <c r="G483" s="8">
        <v>500</v>
      </c>
      <c r="H483" s="8">
        <v>1980</v>
      </c>
      <c r="I483" s="62" t="s">
        <v>44</v>
      </c>
      <c r="J483" s="62" t="s">
        <v>58</v>
      </c>
      <c r="K483" s="62" t="s">
        <v>59</v>
      </c>
      <c r="L483" s="62" t="s">
        <v>180</v>
      </c>
      <c r="M483" s="62" t="s">
        <v>1066</v>
      </c>
      <c r="N483" s="5">
        <v>0</v>
      </c>
      <c r="O483" s="8">
        <v>0</v>
      </c>
      <c r="P483" s="69">
        <v>47000</v>
      </c>
      <c r="Q483" s="69">
        <v>85000</v>
      </c>
      <c r="R483" s="69">
        <v>66000</v>
      </c>
      <c r="S483" s="62" t="s">
        <v>85</v>
      </c>
      <c r="T483" s="8">
        <f t="shared" si="24"/>
        <v>43</v>
      </c>
      <c r="U483" s="8">
        <v>0</v>
      </c>
      <c r="V483" s="8">
        <v>0</v>
      </c>
      <c r="W483" s="8">
        <v>0</v>
      </c>
      <c r="X483" s="8">
        <v>1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62" t="s">
        <v>132</v>
      </c>
      <c r="AL483" s="62" t="s">
        <v>50</v>
      </c>
      <c r="AM483" s="62" t="s">
        <v>77</v>
      </c>
      <c r="AN483" s="5"/>
      <c r="AO483" s="7"/>
    </row>
    <row r="484" spans="1:41" ht="15.75" customHeight="1" x14ac:dyDescent="0.25">
      <c r="A484" s="4">
        <v>483</v>
      </c>
      <c r="B484" s="5" t="s">
        <v>224</v>
      </c>
      <c r="C484" s="58">
        <v>3.5</v>
      </c>
      <c r="D484" s="61" t="s">
        <v>842</v>
      </c>
      <c r="E484" s="72" t="s">
        <v>843</v>
      </c>
      <c r="F484" s="62" t="s">
        <v>843</v>
      </c>
      <c r="G484" s="8" t="s">
        <v>43</v>
      </c>
      <c r="H484" s="8">
        <v>2013</v>
      </c>
      <c r="I484" s="62" t="s">
        <v>44</v>
      </c>
      <c r="J484" s="62" t="s">
        <v>58</v>
      </c>
      <c r="K484" s="62" t="s">
        <v>59</v>
      </c>
      <c r="L484" s="62" t="s">
        <v>83</v>
      </c>
      <c r="M484" s="62" t="s">
        <v>47</v>
      </c>
      <c r="N484" s="5">
        <v>0</v>
      </c>
      <c r="O484" s="8">
        <v>0</v>
      </c>
      <c r="P484" s="69">
        <v>65000</v>
      </c>
      <c r="Q484" s="69">
        <v>124000</v>
      </c>
      <c r="R484" s="69">
        <v>94500</v>
      </c>
      <c r="S484" s="62" t="s">
        <v>102</v>
      </c>
      <c r="T484" s="8">
        <f t="shared" si="24"/>
        <v>10</v>
      </c>
      <c r="U484" s="8">
        <v>1</v>
      </c>
      <c r="V484" s="8">
        <v>1</v>
      </c>
      <c r="W484" s="8">
        <v>1</v>
      </c>
      <c r="X484" s="8">
        <v>1</v>
      </c>
      <c r="Y484" s="8">
        <v>1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1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62" t="s">
        <v>146</v>
      </c>
      <c r="AL484" s="62" t="s">
        <v>50</v>
      </c>
      <c r="AM484" s="62" t="s">
        <v>51</v>
      </c>
      <c r="AN484" s="5"/>
      <c r="AO484" s="7"/>
    </row>
    <row r="485" spans="1:41" ht="15.75" customHeight="1" x14ac:dyDescent="0.25">
      <c r="A485" s="4">
        <v>484</v>
      </c>
      <c r="B485" s="5" t="s">
        <v>39</v>
      </c>
      <c r="C485" s="58">
        <v>4.2</v>
      </c>
      <c r="D485" s="61" t="s">
        <v>1067</v>
      </c>
      <c r="E485" s="72" t="s">
        <v>79</v>
      </c>
      <c r="F485" s="62" t="s">
        <v>80</v>
      </c>
      <c r="G485" s="8" t="s">
        <v>81</v>
      </c>
      <c r="H485" s="8">
        <v>2012</v>
      </c>
      <c r="I485" s="62" t="s">
        <v>44</v>
      </c>
      <c r="J485" s="62" t="s">
        <v>414</v>
      </c>
      <c r="K485" s="62" t="s">
        <v>415</v>
      </c>
      <c r="L485" s="62" t="s">
        <v>83</v>
      </c>
      <c r="M485" s="62" t="s">
        <v>1068</v>
      </c>
      <c r="N485" s="5">
        <v>0</v>
      </c>
      <c r="O485" s="8">
        <v>0</v>
      </c>
      <c r="P485" s="69">
        <v>56000</v>
      </c>
      <c r="Q485" s="69">
        <v>95000</v>
      </c>
      <c r="R485" s="69">
        <v>75500</v>
      </c>
      <c r="S485" s="62" t="s">
        <v>85</v>
      </c>
      <c r="T485" s="8">
        <f t="shared" si="24"/>
        <v>11</v>
      </c>
      <c r="U485" s="8">
        <v>1</v>
      </c>
      <c r="V485" s="8">
        <v>0</v>
      </c>
      <c r="W485" s="8">
        <v>1</v>
      </c>
      <c r="X485" s="8">
        <v>0</v>
      </c>
      <c r="Y485" s="8">
        <v>1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1</v>
      </c>
      <c r="AF485" s="8">
        <v>1</v>
      </c>
      <c r="AG485" s="8">
        <v>0</v>
      </c>
      <c r="AH485" s="8">
        <v>0</v>
      </c>
      <c r="AI485" s="8">
        <v>0</v>
      </c>
      <c r="AJ485" s="8">
        <v>0</v>
      </c>
      <c r="AK485" s="62" t="s">
        <v>49</v>
      </c>
      <c r="AL485" s="62" t="s">
        <v>50</v>
      </c>
      <c r="AM485" s="62" t="s">
        <v>77</v>
      </c>
      <c r="AN485" s="5"/>
      <c r="AO485" s="7"/>
    </row>
    <row r="486" spans="1:41" ht="15.75" customHeight="1" x14ac:dyDescent="0.25">
      <c r="A486" s="4">
        <v>485</v>
      </c>
      <c r="B486" s="5" t="s">
        <v>505</v>
      </c>
      <c r="C486" s="58">
        <v>4</v>
      </c>
      <c r="D486" s="61" t="s">
        <v>1069</v>
      </c>
      <c r="E486" s="72" t="s">
        <v>399</v>
      </c>
      <c r="F486" s="62" t="s">
        <v>1070</v>
      </c>
      <c r="G486" s="8" t="s">
        <v>43</v>
      </c>
      <c r="H486" s="8">
        <v>1954</v>
      </c>
      <c r="I486" s="62" t="s">
        <v>89</v>
      </c>
      <c r="J486" s="62" t="s">
        <v>45</v>
      </c>
      <c r="K486" s="62" t="s">
        <v>45</v>
      </c>
      <c r="L486" s="62" t="s">
        <v>66</v>
      </c>
      <c r="M486" s="62" t="s">
        <v>1071</v>
      </c>
      <c r="N486" s="5">
        <v>0</v>
      </c>
      <c r="O486" s="8">
        <v>0</v>
      </c>
      <c r="P486" s="69">
        <v>62000</v>
      </c>
      <c r="Q486" s="69">
        <v>112000</v>
      </c>
      <c r="R486" s="69">
        <v>87000</v>
      </c>
      <c r="S486" s="62" t="s">
        <v>122</v>
      </c>
      <c r="T486" s="8">
        <f t="shared" si="24"/>
        <v>69</v>
      </c>
      <c r="U486" s="8">
        <v>1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62" t="s">
        <v>508</v>
      </c>
      <c r="AL486" s="62" t="s">
        <v>50</v>
      </c>
      <c r="AM486" s="62" t="s">
        <v>77</v>
      </c>
      <c r="AN486" s="5"/>
      <c r="AO486" s="7"/>
    </row>
    <row r="487" spans="1:41" ht="15.75" customHeight="1" x14ac:dyDescent="0.25">
      <c r="A487" s="4">
        <v>486</v>
      </c>
      <c r="B487" s="5" t="s">
        <v>1072</v>
      </c>
      <c r="C487" s="58">
        <v>3.9</v>
      </c>
      <c r="D487" s="61" t="s">
        <v>860</v>
      </c>
      <c r="E487" s="72" t="s">
        <v>1073</v>
      </c>
      <c r="F487" s="62" t="s">
        <v>861</v>
      </c>
      <c r="G487" s="8" t="s">
        <v>56</v>
      </c>
      <c r="H487" s="8">
        <v>1913</v>
      </c>
      <c r="I487" s="62" t="s">
        <v>89</v>
      </c>
      <c r="J487" s="62" t="s">
        <v>136</v>
      </c>
      <c r="K487" s="62" t="s">
        <v>136</v>
      </c>
      <c r="L487" s="62" t="s">
        <v>128</v>
      </c>
      <c r="M487" s="62" t="s">
        <v>862</v>
      </c>
      <c r="N487" s="5">
        <v>0</v>
      </c>
      <c r="O487" s="8">
        <v>0</v>
      </c>
      <c r="P487" s="69">
        <v>107000</v>
      </c>
      <c r="Q487" s="69">
        <v>173000</v>
      </c>
      <c r="R487" s="69">
        <v>140000</v>
      </c>
      <c r="S487" s="62" t="s">
        <v>61</v>
      </c>
      <c r="T487" s="8">
        <f t="shared" si="24"/>
        <v>110</v>
      </c>
      <c r="U487" s="8">
        <v>1</v>
      </c>
      <c r="V487" s="8">
        <v>0</v>
      </c>
      <c r="W487" s="8">
        <v>0</v>
      </c>
      <c r="X487" s="8">
        <v>1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62" t="s">
        <v>49</v>
      </c>
      <c r="AL487" s="62" t="s">
        <v>169</v>
      </c>
      <c r="AM487" s="62" t="s">
        <v>108</v>
      </c>
      <c r="AN487" s="5"/>
      <c r="AO487" s="7"/>
    </row>
    <row r="488" spans="1:41" ht="15.75" customHeight="1" x14ac:dyDescent="0.25">
      <c r="A488" s="4">
        <v>487</v>
      </c>
      <c r="B488" s="5" t="s">
        <v>39</v>
      </c>
      <c r="C488" s="58">
        <v>3.7</v>
      </c>
      <c r="D488" s="61" t="s">
        <v>1074</v>
      </c>
      <c r="E488" s="72" t="s">
        <v>405</v>
      </c>
      <c r="F488" s="62" t="s">
        <v>339</v>
      </c>
      <c r="G488" s="8" t="s">
        <v>88</v>
      </c>
      <c r="H488" s="8">
        <v>2006</v>
      </c>
      <c r="I488" s="62" t="s">
        <v>44</v>
      </c>
      <c r="J488" s="62" t="s">
        <v>213</v>
      </c>
      <c r="K488" s="62" t="s">
        <v>111</v>
      </c>
      <c r="L488" s="62" t="s">
        <v>101</v>
      </c>
      <c r="M488" s="62" t="s">
        <v>47</v>
      </c>
      <c r="N488" s="5">
        <v>0</v>
      </c>
      <c r="O488" s="8">
        <v>0</v>
      </c>
      <c r="P488" s="69">
        <v>64000</v>
      </c>
      <c r="Q488" s="69">
        <v>108000</v>
      </c>
      <c r="R488" s="69">
        <v>86000</v>
      </c>
      <c r="S488" s="62" t="s">
        <v>61</v>
      </c>
      <c r="T488" s="8">
        <f t="shared" si="24"/>
        <v>17</v>
      </c>
      <c r="U488" s="8">
        <v>1</v>
      </c>
      <c r="V488" s="8">
        <v>0</v>
      </c>
      <c r="W488" s="8">
        <v>0</v>
      </c>
      <c r="X488" s="8">
        <v>1</v>
      </c>
      <c r="Y488" s="8">
        <v>0</v>
      </c>
      <c r="Z488" s="8">
        <v>1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62" t="s">
        <v>49</v>
      </c>
      <c r="AL488" s="62" t="s">
        <v>50</v>
      </c>
      <c r="AM488" s="62" t="s">
        <v>51</v>
      </c>
      <c r="AN488" s="5"/>
      <c r="AO488" s="7"/>
    </row>
    <row r="489" spans="1:41" ht="15.75" customHeight="1" x14ac:dyDescent="0.25">
      <c r="A489" s="4">
        <v>488</v>
      </c>
      <c r="B489" s="5" t="s">
        <v>220</v>
      </c>
      <c r="C489" s="58">
        <v>4.4000000000000004</v>
      </c>
      <c r="D489" s="61" t="s">
        <v>1075</v>
      </c>
      <c r="E489" s="72" t="s">
        <v>296</v>
      </c>
      <c r="F489" s="62" t="s">
        <v>297</v>
      </c>
      <c r="G489" s="8">
        <v>500</v>
      </c>
      <c r="H489" s="8">
        <v>2012</v>
      </c>
      <c r="I489" s="62" t="s">
        <v>44</v>
      </c>
      <c r="J489" s="62" t="s">
        <v>110</v>
      </c>
      <c r="K489" s="62" t="s">
        <v>111</v>
      </c>
      <c r="L489" s="62" t="s">
        <v>83</v>
      </c>
      <c r="M489" s="62" t="s">
        <v>47</v>
      </c>
      <c r="N489" s="5">
        <v>0</v>
      </c>
      <c r="O489" s="8">
        <v>0</v>
      </c>
      <c r="P489" s="69">
        <v>89000</v>
      </c>
      <c r="Q489" s="69">
        <v>144000</v>
      </c>
      <c r="R489" s="69">
        <v>116500</v>
      </c>
      <c r="S489" s="62" t="s">
        <v>102</v>
      </c>
      <c r="T489" s="8">
        <f t="shared" si="24"/>
        <v>11</v>
      </c>
      <c r="U489" s="8">
        <v>1</v>
      </c>
      <c r="V489" s="8">
        <v>0</v>
      </c>
      <c r="W489" s="8">
        <v>0</v>
      </c>
      <c r="X489" s="8">
        <v>0</v>
      </c>
      <c r="Y489" s="8">
        <v>1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62" t="s">
        <v>49</v>
      </c>
      <c r="AL489" s="62" t="s">
        <v>169</v>
      </c>
      <c r="AM489" s="62" t="s">
        <v>51</v>
      </c>
      <c r="AN489" s="5"/>
      <c r="AO489" s="7"/>
    </row>
    <row r="490" spans="1:41" ht="15.75" customHeight="1" x14ac:dyDescent="0.25">
      <c r="A490" s="4">
        <v>489</v>
      </c>
      <c r="B490" s="5" t="s">
        <v>844</v>
      </c>
      <c r="C490" s="58">
        <v>3.5</v>
      </c>
      <c r="D490" s="61" t="s">
        <v>566</v>
      </c>
      <c r="E490" s="72" t="s">
        <v>231</v>
      </c>
      <c r="F490" s="62" t="s">
        <v>231</v>
      </c>
      <c r="G490" s="8" t="s">
        <v>70</v>
      </c>
      <c r="H490" s="8">
        <v>2010</v>
      </c>
      <c r="I490" s="62" t="s">
        <v>44</v>
      </c>
      <c r="J490" s="62" t="s">
        <v>136</v>
      </c>
      <c r="K490" s="62" t="s">
        <v>136</v>
      </c>
      <c r="L490" s="62" t="s">
        <v>91</v>
      </c>
      <c r="M490" s="62" t="s">
        <v>567</v>
      </c>
      <c r="N490" s="5">
        <v>0</v>
      </c>
      <c r="O490" s="8">
        <v>0</v>
      </c>
      <c r="P490" s="69">
        <v>109000</v>
      </c>
      <c r="Q490" s="69">
        <v>200000</v>
      </c>
      <c r="R490" s="69">
        <v>154500</v>
      </c>
      <c r="S490" s="62" t="s">
        <v>138</v>
      </c>
      <c r="T490" s="8">
        <f t="shared" si="24"/>
        <v>13</v>
      </c>
      <c r="U490" s="8">
        <v>1</v>
      </c>
      <c r="V490" s="8">
        <v>0</v>
      </c>
      <c r="W490" s="8">
        <v>0</v>
      </c>
      <c r="X490" s="8">
        <v>1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62" t="s">
        <v>107</v>
      </c>
      <c r="AL490" s="62" t="s">
        <v>169</v>
      </c>
      <c r="AM490" s="62" t="s">
        <v>108</v>
      </c>
      <c r="AN490" s="5"/>
      <c r="AO490" s="7"/>
    </row>
    <row r="491" spans="1:41" ht="15.75" customHeight="1" x14ac:dyDescent="0.25">
      <c r="A491" s="4">
        <v>490</v>
      </c>
      <c r="B491" s="5" t="s">
        <v>845</v>
      </c>
      <c r="C491" s="58">
        <v>3.7</v>
      </c>
      <c r="D491" s="61" t="s">
        <v>846</v>
      </c>
      <c r="E491" s="72" t="s">
        <v>847</v>
      </c>
      <c r="F491" s="62" t="s">
        <v>172</v>
      </c>
      <c r="G491" s="8" t="s">
        <v>43</v>
      </c>
      <c r="H491" s="8">
        <v>1973</v>
      </c>
      <c r="I491" s="62" t="s">
        <v>89</v>
      </c>
      <c r="J491" s="62" t="s">
        <v>848</v>
      </c>
      <c r="K491" s="62" t="s">
        <v>96</v>
      </c>
      <c r="L491" s="62" t="s">
        <v>74</v>
      </c>
      <c r="M491" s="62" t="s">
        <v>47</v>
      </c>
      <c r="N491" s="5">
        <v>0</v>
      </c>
      <c r="O491" s="8">
        <v>0</v>
      </c>
      <c r="P491" s="69">
        <v>61000</v>
      </c>
      <c r="Q491" s="69">
        <v>113000</v>
      </c>
      <c r="R491" s="69">
        <v>87000</v>
      </c>
      <c r="S491" s="62" t="s">
        <v>849</v>
      </c>
      <c r="T491" s="8">
        <f t="shared" si="24"/>
        <v>50</v>
      </c>
      <c r="U491" s="8">
        <v>1</v>
      </c>
      <c r="V491" s="8">
        <v>0</v>
      </c>
      <c r="W491" s="8">
        <v>0</v>
      </c>
      <c r="X491" s="8">
        <v>1</v>
      </c>
      <c r="Y491" s="8">
        <v>1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1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62" t="s">
        <v>508</v>
      </c>
      <c r="AL491" s="62" t="s">
        <v>50</v>
      </c>
      <c r="AM491" s="62" t="s">
        <v>77</v>
      </c>
      <c r="AN491" s="5"/>
      <c r="AO491" s="7"/>
    </row>
    <row r="492" spans="1:41" ht="15.75" customHeight="1" x14ac:dyDescent="0.25">
      <c r="A492" s="4">
        <v>491</v>
      </c>
      <c r="B492" s="5" t="s">
        <v>644</v>
      </c>
      <c r="C492" s="58">
        <v>3.6</v>
      </c>
      <c r="D492" s="61" t="s">
        <v>645</v>
      </c>
      <c r="E492" s="72" t="s">
        <v>646</v>
      </c>
      <c r="F492" s="62" t="s">
        <v>646</v>
      </c>
      <c r="G492" s="8" t="s">
        <v>70</v>
      </c>
      <c r="H492" s="8">
        <v>1986</v>
      </c>
      <c r="I492" s="62" t="s">
        <v>44</v>
      </c>
      <c r="J492" s="62" t="s">
        <v>647</v>
      </c>
      <c r="K492" s="62" t="s">
        <v>648</v>
      </c>
      <c r="L492" s="62" t="s">
        <v>66</v>
      </c>
      <c r="M492" s="62" t="s">
        <v>47</v>
      </c>
      <c r="N492" s="5">
        <v>0</v>
      </c>
      <c r="O492" s="8">
        <v>0</v>
      </c>
      <c r="P492" s="69">
        <v>35000</v>
      </c>
      <c r="Q492" s="69">
        <v>62000</v>
      </c>
      <c r="R492" s="69">
        <v>48500</v>
      </c>
      <c r="S492" s="62" t="s">
        <v>102</v>
      </c>
      <c r="T492" s="8">
        <f t="shared" si="24"/>
        <v>37</v>
      </c>
      <c r="U492" s="8">
        <v>0</v>
      </c>
      <c r="V492" s="8">
        <v>0</v>
      </c>
      <c r="W492" s="8">
        <v>0</v>
      </c>
      <c r="X492" s="8">
        <v>1</v>
      </c>
      <c r="Y492" s="8">
        <v>1</v>
      </c>
      <c r="Z492" s="8">
        <v>1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1</v>
      </c>
      <c r="AG492" s="8">
        <v>0</v>
      </c>
      <c r="AH492" s="8">
        <v>0</v>
      </c>
      <c r="AI492" s="8">
        <v>0</v>
      </c>
      <c r="AJ492" s="8">
        <v>1</v>
      </c>
      <c r="AK492" s="62" t="s">
        <v>132</v>
      </c>
      <c r="AL492" s="62" t="s">
        <v>50</v>
      </c>
      <c r="AM492" s="62" t="s">
        <v>51</v>
      </c>
      <c r="AN492" s="5"/>
      <c r="AO492" s="7"/>
    </row>
    <row r="493" spans="1:41" ht="15.75" customHeight="1" x14ac:dyDescent="0.25">
      <c r="A493" s="4">
        <v>492</v>
      </c>
      <c r="B493" s="5" t="s">
        <v>224</v>
      </c>
      <c r="C493" s="58">
        <v>3.4</v>
      </c>
      <c r="D493" s="61" t="s">
        <v>1076</v>
      </c>
      <c r="E493" s="72" t="s">
        <v>413</v>
      </c>
      <c r="F493" s="62" t="s">
        <v>1077</v>
      </c>
      <c r="G493" s="8" t="s">
        <v>43</v>
      </c>
      <c r="H493" s="8">
        <v>2002</v>
      </c>
      <c r="I493" s="62" t="s">
        <v>44</v>
      </c>
      <c r="J493" s="62" t="s">
        <v>213</v>
      </c>
      <c r="K493" s="62" t="s">
        <v>111</v>
      </c>
      <c r="L493" s="62" t="s">
        <v>91</v>
      </c>
      <c r="M493" s="62" t="s">
        <v>1078</v>
      </c>
      <c r="N493" s="5">
        <v>0</v>
      </c>
      <c r="O493" s="8">
        <v>0</v>
      </c>
      <c r="P493" s="69">
        <v>55000</v>
      </c>
      <c r="Q493" s="69">
        <v>105000</v>
      </c>
      <c r="R493" s="69">
        <v>80000</v>
      </c>
      <c r="S493" s="62" t="s">
        <v>93</v>
      </c>
      <c r="T493" s="8">
        <f t="shared" si="24"/>
        <v>21</v>
      </c>
      <c r="U493" s="8">
        <v>1</v>
      </c>
      <c r="V493" s="8">
        <v>1</v>
      </c>
      <c r="W493" s="8">
        <v>0</v>
      </c>
      <c r="X493" s="8">
        <v>1</v>
      </c>
      <c r="Y493" s="8">
        <v>1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1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62" t="s">
        <v>146</v>
      </c>
      <c r="AL493" s="62" t="s">
        <v>50</v>
      </c>
      <c r="AM493" s="62" t="s">
        <v>77</v>
      </c>
      <c r="AN493" s="5"/>
      <c r="AO493" s="7"/>
    </row>
    <row r="494" spans="1:41" ht="15.75" customHeight="1" x14ac:dyDescent="0.25">
      <c r="A494" s="4">
        <v>493</v>
      </c>
      <c r="B494" s="5" t="s">
        <v>649</v>
      </c>
      <c r="C494" s="58">
        <v>4</v>
      </c>
      <c r="D494" s="61" t="s">
        <v>650</v>
      </c>
      <c r="E494" s="72" t="s">
        <v>651</v>
      </c>
      <c r="F494" s="62" t="s">
        <v>652</v>
      </c>
      <c r="G494" s="8" t="s">
        <v>70</v>
      </c>
      <c r="H494" s="8">
        <v>1977</v>
      </c>
      <c r="I494" s="62" t="s">
        <v>106</v>
      </c>
      <c r="J494" s="62" t="s">
        <v>58</v>
      </c>
      <c r="K494" s="62" t="s">
        <v>59</v>
      </c>
      <c r="L494" s="62" t="s">
        <v>46</v>
      </c>
      <c r="M494" s="62" t="s">
        <v>47</v>
      </c>
      <c r="N494" s="5">
        <v>1</v>
      </c>
      <c r="O494" s="8">
        <v>0</v>
      </c>
      <c r="P494" s="69">
        <v>37000</v>
      </c>
      <c r="Q494" s="69">
        <v>52000</v>
      </c>
      <c r="R494" s="69">
        <v>44500</v>
      </c>
      <c r="S494" s="62" t="s">
        <v>93</v>
      </c>
      <c r="T494" s="8">
        <f t="shared" si="24"/>
        <v>46</v>
      </c>
      <c r="U494" s="8">
        <v>0</v>
      </c>
      <c r="V494" s="8">
        <v>0</v>
      </c>
      <c r="W494" s="8">
        <v>1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62" t="s">
        <v>107</v>
      </c>
      <c r="AL494" s="62" t="s">
        <v>50</v>
      </c>
      <c r="AM494" s="62" t="s">
        <v>77</v>
      </c>
      <c r="AN494" s="5"/>
      <c r="AO494" s="7"/>
    </row>
    <row r="495" spans="1:41" ht="15.75" customHeight="1" x14ac:dyDescent="0.25">
      <c r="A495" s="4">
        <v>494</v>
      </c>
      <c r="B495" s="5" t="s">
        <v>653</v>
      </c>
      <c r="C495" s="58">
        <v>2.4</v>
      </c>
      <c r="D495" s="61" t="s">
        <v>654</v>
      </c>
      <c r="E495" s="72" t="s">
        <v>655</v>
      </c>
      <c r="F495" s="62" t="s">
        <v>656</v>
      </c>
      <c r="G495" s="8" t="s">
        <v>43</v>
      </c>
      <c r="H495" s="8" t="s">
        <v>47</v>
      </c>
      <c r="I495" s="62" t="s">
        <v>44</v>
      </c>
      <c r="J495" s="62" t="s">
        <v>657</v>
      </c>
      <c r="K495" s="62" t="s">
        <v>427</v>
      </c>
      <c r="L495" s="62" t="s">
        <v>66</v>
      </c>
      <c r="M495" s="62" t="s">
        <v>47</v>
      </c>
      <c r="N495" s="5">
        <v>0</v>
      </c>
      <c r="O495" s="8">
        <v>0</v>
      </c>
      <c r="P495" s="69">
        <v>39000</v>
      </c>
      <c r="Q495" s="69">
        <v>66000</v>
      </c>
      <c r="R495" s="69">
        <v>52500</v>
      </c>
      <c r="S495" s="62" t="s">
        <v>176</v>
      </c>
      <c r="T495" s="8" t="s">
        <v>47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62" t="s">
        <v>107</v>
      </c>
      <c r="AL495" s="62" t="s">
        <v>50</v>
      </c>
      <c r="AM495" s="62" t="s">
        <v>77</v>
      </c>
      <c r="AN495" s="5"/>
      <c r="AO495" s="7"/>
    </row>
    <row r="496" spans="1:41" ht="15.75" customHeight="1" x14ac:dyDescent="0.25">
      <c r="A496" s="4">
        <v>495</v>
      </c>
      <c r="B496" s="5" t="s">
        <v>1079</v>
      </c>
      <c r="C496" s="58">
        <v>3.7</v>
      </c>
      <c r="D496" s="61" t="s">
        <v>279</v>
      </c>
      <c r="E496" s="72" t="s">
        <v>98</v>
      </c>
      <c r="F496" s="62" t="s">
        <v>280</v>
      </c>
      <c r="G496" s="8" t="s">
        <v>56</v>
      </c>
      <c r="H496" s="8">
        <v>1939</v>
      </c>
      <c r="I496" s="62" t="s">
        <v>89</v>
      </c>
      <c r="J496" s="62" t="s">
        <v>45</v>
      </c>
      <c r="K496" s="62" t="s">
        <v>45</v>
      </c>
      <c r="L496" s="62" t="s">
        <v>128</v>
      </c>
      <c r="M496" s="62" t="s">
        <v>47</v>
      </c>
      <c r="N496" s="5">
        <v>0</v>
      </c>
      <c r="O496" s="8">
        <v>0</v>
      </c>
      <c r="P496" s="69">
        <v>135000</v>
      </c>
      <c r="Q496" s="69">
        <v>211000</v>
      </c>
      <c r="R496" s="69">
        <v>173000</v>
      </c>
      <c r="S496" s="62" t="s">
        <v>102</v>
      </c>
      <c r="T496" s="8">
        <f t="shared" ref="T496:T502" si="25">2023-H496</f>
        <v>84</v>
      </c>
      <c r="U496" s="8">
        <v>1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62" t="s">
        <v>49</v>
      </c>
      <c r="AL496" s="62" t="s">
        <v>169</v>
      </c>
      <c r="AM496" s="62" t="s">
        <v>51</v>
      </c>
      <c r="AN496" s="5"/>
      <c r="AO496" s="7"/>
    </row>
    <row r="497" spans="1:41" ht="15.75" customHeight="1" x14ac:dyDescent="0.25">
      <c r="A497" s="4">
        <v>496</v>
      </c>
      <c r="B497" s="5" t="s">
        <v>224</v>
      </c>
      <c r="C497" s="58">
        <v>3.5</v>
      </c>
      <c r="D497" s="61" t="s">
        <v>1080</v>
      </c>
      <c r="E497" s="72" t="s">
        <v>435</v>
      </c>
      <c r="F497" s="62" t="s">
        <v>1081</v>
      </c>
      <c r="G497" s="8" t="s">
        <v>43</v>
      </c>
      <c r="H497" s="8">
        <v>1997</v>
      </c>
      <c r="I497" s="62" t="s">
        <v>44</v>
      </c>
      <c r="J497" s="62" t="s">
        <v>136</v>
      </c>
      <c r="K497" s="62" t="s">
        <v>136</v>
      </c>
      <c r="L497" s="62" t="s">
        <v>83</v>
      </c>
      <c r="M497" s="62" t="s">
        <v>1082</v>
      </c>
      <c r="N497" s="5">
        <v>0</v>
      </c>
      <c r="O497" s="8">
        <v>0</v>
      </c>
      <c r="P497" s="69">
        <v>57000</v>
      </c>
      <c r="Q497" s="69">
        <v>80000</v>
      </c>
      <c r="R497" s="69">
        <v>68500</v>
      </c>
      <c r="S497" s="62" t="s">
        <v>436</v>
      </c>
      <c r="T497" s="8">
        <f t="shared" si="25"/>
        <v>26</v>
      </c>
      <c r="U497" s="8">
        <v>1</v>
      </c>
      <c r="V497" s="8">
        <v>1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62" t="s">
        <v>146</v>
      </c>
      <c r="AL497" s="62" t="s">
        <v>50</v>
      </c>
      <c r="AM497" s="62" t="s">
        <v>77</v>
      </c>
      <c r="AN497" s="5"/>
      <c r="AO497" s="7"/>
    </row>
    <row r="498" spans="1:41" ht="15.75" customHeight="1" x14ac:dyDescent="0.25">
      <c r="A498" s="4">
        <v>497</v>
      </c>
      <c r="B498" s="5" t="s">
        <v>1083</v>
      </c>
      <c r="C498" s="58">
        <v>4.4000000000000004</v>
      </c>
      <c r="D498" s="61" t="s">
        <v>1084</v>
      </c>
      <c r="E498" s="72" t="s">
        <v>79</v>
      </c>
      <c r="F498" s="62" t="s">
        <v>80</v>
      </c>
      <c r="G498" s="8" t="s">
        <v>70</v>
      </c>
      <c r="H498" s="8">
        <v>2001</v>
      </c>
      <c r="I498" s="62" t="s">
        <v>44</v>
      </c>
      <c r="J498" s="62" t="s">
        <v>577</v>
      </c>
      <c r="K498" s="62" t="s">
        <v>96</v>
      </c>
      <c r="L498" s="62" t="s">
        <v>83</v>
      </c>
      <c r="M498" s="62" t="s">
        <v>47</v>
      </c>
      <c r="N498" s="5">
        <v>0</v>
      </c>
      <c r="O498" s="8">
        <v>0</v>
      </c>
      <c r="P498" s="69">
        <v>129000</v>
      </c>
      <c r="Q498" s="69">
        <v>215000</v>
      </c>
      <c r="R498" s="69">
        <v>172000</v>
      </c>
      <c r="S498" s="62" t="s">
        <v>85</v>
      </c>
      <c r="T498" s="8">
        <f t="shared" si="25"/>
        <v>22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62" t="s">
        <v>49</v>
      </c>
      <c r="AL498" s="62" t="s">
        <v>50</v>
      </c>
      <c r="AM498" s="62" t="s">
        <v>108</v>
      </c>
      <c r="AN498" s="5"/>
      <c r="AO498" s="7"/>
    </row>
    <row r="499" spans="1:41" ht="15.75" customHeight="1" x14ac:dyDescent="0.25">
      <c r="A499" s="4">
        <v>498</v>
      </c>
      <c r="B499" s="5" t="s">
        <v>267</v>
      </c>
      <c r="C499" s="58">
        <v>3.3</v>
      </c>
      <c r="D499" s="61" t="s">
        <v>268</v>
      </c>
      <c r="E499" s="72" t="s">
        <v>269</v>
      </c>
      <c r="F499" s="62" t="s">
        <v>269</v>
      </c>
      <c r="G499" s="8" t="s">
        <v>56</v>
      </c>
      <c r="H499" s="8">
        <v>1912</v>
      </c>
      <c r="I499" s="62" t="s">
        <v>44</v>
      </c>
      <c r="J499" s="62" t="s">
        <v>161</v>
      </c>
      <c r="K499" s="62" t="s">
        <v>162</v>
      </c>
      <c r="L499" s="62" t="s">
        <v>128</v>
      </c>
      <c r="M499" s="62" t="s">
        <v>270</v>
      </c>
      <c r="N499" s="5">
        <v>0</v>
      </c>
      <c r="O499" s="8">
        <v>0</v>
      </c>
      <c r="P499" s="69">
        <v>86000</v>
      </c>
      <c r="Q499" s="69">
        <v>143000</v>
      </c>
      <c r="R499" s="69">
        <v>114500</v>
      </c>
      <c r="S499" s="62" t="s">
        <v>138</v>
      </c>
      <c r="T499" s="8">
        <f t="shared" si="25"/>
        <v>111</v>
      </c>
      <c r="U499" s="8">
        <v>1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62" t="s">
        <v>49</v>
      </c>
      <c r="AL499" s="62" t="s">
        <v>50</v>
      </c>
      <c r="AM499" s="62" t="s">
        <v>77</v>
      </c>
      <c r="AN499" s="5"/>
      <c r="AO499" s="7"/>
    </row>
    <row r="500" spans="1:41" ht="15.75" customHeight="1" x14ac:dyDescent="0.25">
      <c r="A500" s="4">
        <v>499</v>
      </c>
      <c r="B500" s="5" t="s">
        <v>1085</v>
      </c>
      <c r="C500" s="58">
        <v>3.9</v>
      </c>
      <c r="D500" s="61" t="s">
        <v>860</v>
      </c>
      <c r="E500" s="72" t="s">
        <v>1073</v>
      </c>
      <c r="F500" s="62" t="s">
        <v>861</v>
      </c>
      <c r="G500" s="8" t="s">
        <v>56</v>
      </c>
      <c r="H500" s="8">
        <v>1913</v>
      </c>
      <c r="I500" s="62" t="s">
        <v>89</v>
      </c>
      <c r="J500" s="62" t="s">
        <v>136</v>
      </c>
      <c r="K500" s="62" t="s">
        <v>136</v>
      </c>
      <c r="L500" s="62" t="s">
        <v>128</v>
      </c>
      <c r="M500" s="62" t="s">
        <v>862</v>
      </c>
      <c r="N500" s="5">
        <v>0</v>
      </c>
      <c r="O500" s="8">
        <v>0</v>
      </c>
      <c r="P500" s="69">
        <v>63000</v>
      </c>
      <c r="Q500" s="69">
        <v>127000</v>
      </c>
      <c r="R500" s="69">
        <v>95000</v>
      </c>
      <c r="S500" s="62" t="s">
        <v>61</v>
      </c>
      <c r="T500" s="8">
        <f t="shared" si="25"/>
        <v>110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62" t="s">
        <v>107</v>
      </c>
      <c r="AL500" s="62" t="s">
        <v>169</v>
      </c>
      <c r="AM500" s="62" t="s">
        <v>108</v>
      </c>
      <c r="AN500" s="5"/>
      <c r="AO500" s="7"/>
    </row>
    <row r="501" spans="1:41" ht="15.75" customHeight="1" x14ac:dyDescent="0.25">
      <c r="A501" s="4">
        <v>500</v>
      </c>
      <c r="B501" s="5" t="s">
        <v>1086</v>
      </c>
      <c r="C501" s="58">
        <v>3.2</v>
      </c>
      <c r="D501" s="61" t="s">
        <v>394</v>
      </c>
      <c r="E501" s="72" t="s">
        <v>396</v>
      </c>
      <c r="F501" s="62" t="s">
        <v>396</v>
      </c>
      <c r="G501" s="8" t="s">
        <v>120</v>
      </c>
      <c r="H501" s="8">
        <v>1958</v>
      </c>
      <c r="I501" s="62" t="s">
        <v>160</v>
      </c>
      <c r="J501" s="62" t="s">
        <v>397</v>
      </c>
      <c r="K501" s="62" t="s">
        <v>71</v>
      </c>
      <c r="L501" s="62" t="s">
        <v>91</v>
      </c>
      <c r="M501" s="62" t="s">
        <v>398</v>
      </c>
      <c r="N501" s="5">
        <v>0</v>
      </c>
      <c r="O501" s="8">
        <v>0</v>
      </c>
      <c r="P501" s="69">
        <v>50000</v>
      </c>
      <c r="Q501" s="69">
        <v>89000</v>
      </c>
      <c r="R501" s="69">
        <v>69500</v>
      </c>
      <c r="S501" s="62" t="s">
        <v>138</v>
      </c>
      <c r="T501" s="8">
        <f t="shared" si="25"/>
        <v>65</v>
      </c>
      <c r="U501" s="8">
        <v>1</v>
      </c>
      <c r="V501" s="8">
        <v>0</v>
      </c>
      <c r="W501" s="8">
        <v>0</v>
      </c>
      <c r="X501" s="8">
        <v>1</v>
      </c>
      <c r="Y501" s="8">
        <v>1</v>
      </c>
      <c r="Z501" s="8">
        <v>1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1</v>
      </c>
      <c r="AG501" s="8">
        <v>0</v>
      </c>
      <c r="AH501" s="8">
        <v>0</v>
      </c>
      <c r="AI501" s="8">
        <v>1</v>
      </c>
      <c r="AJ501" s="8">
        <v>0</v>
      </c>
      <c r="AK501" s="62" t="s">
        <v>49</v>
      </c>
      <c r="AL501" s="62" t="s">
        <v>50</v>
      </c>
      <c r="AM501" s="62" t="s">
        <v>77</v>
      </c>
      <c r="AN501" s="5"/>
      <c r="AO501" s="7"/>
    </row>
    <row r="502" spans="1:41" ht="15.75" customHeight="1" x14ac:dyDescent="0.25">
      <c r="A502" s="4">
        <v>501</v>
      </c>
      <c r="B502" s="5" t="s">
        <v>224</v>
      </c>
      <c r="C502" s="58">
        <v>3.2</v>
      </c>
      <c r="D502" s="61" t="s">
        <v>850</v>
      </c>
      <c r="E502" s="72" t="s">
        <v>79</v>
      </c>
      <c r="F502" s="62" t="s">
        <v>80</v>
      </c>
      <c r="G502" s="8" t="s">
        <v>43</v>
      </c>
      <c r="H502" s="8">
        <v>2003</v>
      </c>
      <c r="I502" s="62" t="s">
        <v>44</v>
      </c>
      <c r="J502" s="62" t="s">
        <v>121</v>
      </c>
      <c r="K502" s="62" t="s">
        <v>65</v>
      </c>
      <c r="L502" s="62" t="s">
        <v>83</v>
      </c>
      <c r="M502" s="62" t="s">
        <v>851</v>
      </c>
      <c r="N502" s="5">
        <v>0</v>
      </c>
      <c r="O502" s="8">
        <v>0</v>
      </c>
      <c r="P502" s="69">
        <v>43000</v>
      </c>
      <c r="Q502" s="69">
        <v>86000</v>
      </c>
      <c r="R502" s="69">
        <v>64500</v>
      </c>
      <c r="S502" s="62" t="s">
        <v>85</v>
      </c>
      <c r="T502" s="8">
        <f t="shared" si="25"/>
        <v>20</v>
      </c>
      <c r="U502" s="8">
        <v>1</v>
      </c>
      <c r="V502" s="8">
        <v>0</v>
      </c>
      <c r="W502" s="8">
        <v>1</v>
      </c>
      <c r="X502" s="8">
        <v>1</v>
      </c>
      <c r="Y502" s="8">
        <v>1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62" t="s">
        <v>146</v>
      </c>
      <c r="AL502" s="62" t="s">
        <v>50</v>
      </c>
      <c r="AM502" s="62" t="s">
        <v>77</v>
      </c>
      <c r="AN502" s="5"/>
      <c r="AO502" s="7"/>
    </row>
    <row r="503" spans="1:41" ht="15.75" customHeight="1" x14ac:dyDescent="0.25">
      <c r="A503" s="4">
        <v>502</v>
      </c>
      <c r="B503" s="5" t="s">
        <v>852</v>
      </c>
      <c r="C503" s="58">
        <v>2.1</v>
      </c>
      <c r="D503" s="61" t="s">
        <v>853</v>
      </c>
      <c r="E503" s="72" t="s">
        <v>854</v>
      </c>
      <c r="F503" s="62" t="s">
        <v>854</v>
      </c>
      <c r="G503" s="8" t="s">
        <v>88</v>
      </c>
      <c r="H503" s="8" t="s">
        <v>47</v>
      </c>
      <c r="I503" s="62" t="s">
        <v>89</v>
      </c>
      <c r="J503" s="62" t="s">
        <v>136</v>
      </c>
      <c r="K503" s="62" t="s">
        <v>136</v>
      </c>
      <c r="L503" s="62" t="s">
        <v>101</v>
      </c>
      <c r="M503" s="62" t="s">
        <v>47</v>
      </c>
      <c r="N503" s="5">
        <v>0</v>
      </c>
      <c r="O503" s="8">
        <v>0</v>
      </c>
      <c r="P503" s="69">
        <v>74000</v>
      </c>
      <c r="Q503" s="69">
        <v>149000</v>
      </c>
      <c r="R503" s="69">
        <v>111500</v>
      </c>
      <c r="S503" s="62" t="s">
        <v>102</v>
      </c>
      <c r="T503" s="8" t="s">
        <v>47</v>
      </c>
      <c r="U503" s="8">
        <v>0</v>
      </c>
      <c r="V503" s="8">
        <v>0</v>
      </c>
      <c r="W503" s="8">
        <v>0</v>
      </c>
      <c r="X503" s="8">
        <v>1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62" t="s">
        <v>107</v>
      </c>
      <c r="AL503" s="62" t="s">
        <v>50</v>
      </c>
      <c r="AM503" s="62" t="s">
        <v>108</v>
      </c>
      <c r="AN503" s="5"/>
      <c r="AO503" s="7"/>
    </row>
    <row r="504" spans="1:41" ht="15.75" customHeight="1" x14ac:dyDescent="0.25">
      <c r="A504" s="4">
        <v>503</v>
      </c>
      <c r="B504" s="5" t="s">
        <v>39</v>
      </c>
      <c r="C504" s="58">
        <v>4</v>
      </c>
      <c r="D504" s="61" t="s">
        <v>1087</v>
      </c>
      <c r="E504" s="72" t="s">
        <v>79</v>
      </c>
      <c r="F504" s="62" t="s">
        <v>80</v>
      </c>
      <c r="G504" s="8" t="s">
        <v>43</v>
      </c>
      <c r="H504" s="8">
        <v>2007</v>
      </c>
      <c r="I504" s="62" t="s">
        <v>44</v>
      </c>
      <c r="J504" s="62" t="s">
        <v>1088</v>
      </c>
      <c r="K504" s="62" t="s">
        <v>1042</v>
      </c>
      <c r="L504" s="62" t="s">
        <v>83</v>
      </c>
      <c r="M504" s="62" t="s">
        <v>1089</v>
      </c>
      <c r="N504" s="5">
        <v>0</v>
      </c>
      <c r="O504" s="8">
        <v>0</v>
      </c>
      <c r="P504" s="69">
        <v>71000</v>
      </c>
      <c r="Q504" s="69">
        <v>124000</v>
      </c>
      <c r="R504" s="69">
        <v>97500</v>
      </c>
      <c r="S504" s="62" t="s">
        <v>85</v>
      </c>
      <c r="T504" s="8">
        <f t="shared" ref="T504:T512" si="26">2023-H504</f>
        <v>16</v>
      </c>
      <c r="U504" s="8">
        <v>1</v>
      </c>
      <c r="V504" s="8">
        <v>0</v>
      </c>
      <c r="W504" s="8">
        <v>0</v>
      </c>
      <c r="X504" s="8">
        <v>1</v>
      </c>
      <c r="Y504" s="8">
        <v>1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62" t="s">
        <v>49</v>
      </c>
      <c r="AL504" s="62" t="s">
        <v>50</v>
      </c>
      <c r="AM504" s="62" t="s">
        <v>77</v>
      </c>
      <c r="AN504" s="5"/>
      <c r="AO504" s="7"/>
    </row>
    <row r="505" spans="1:41" ht="15.75" customHeight="1" x14ac:dyDescent="0.25">
      <c r="A505" s="4">
        <v>504</v>
      </c>
      <c r="B505" s="5" t="s">
        <v>855</v>
      </c>
      <c r="C505" s="58">
        <v>3.7</v>
      </c>
      <c r="D505" s="61" t="s">
        <v>133</v>
      </c>
      <c r="E505" s="72" t="s">
        <v>134</v>
      </c>
      <c r="F505" s="62" t="s">
        <v>135</v>
      </c>
      <c r="G505" s="8" t="s">
        <v>56</v>
      </c>
      <c r="H505" s="8">
        <v>1781</v>
      </c>
      <c r="I505" s="62" t="s">
        <v>89</v>
      </c>
      <c r="J505" s="62" t="s">
        <v>136</v>
      </c>
      <c r="K505" s="62" t="s">
        <v>136</v>
      </c>
      <c r="L505" s="62" t="s">
        <v>128</v>
      </c>
      <c r="M505" s="62" t="s">
        <v>137</v>
      </c>
      <c r="N505" s="5">
        <v>0</v>
      </c>
      <c r="O505" s="8">
        <v>0</v>
      </c>
      <c r="P505" s="69">
        <v>113000</v>
      </c>
      <c r="Q505" s="69">
        <v>196000</v>
      </c>
      <c r="R505" s="69">
        <v>154500</v>
      </c>
      <c r="S505" s="62" t="s">
        <v>138</v>
      </c>
      <c r="T505" s="8">
        <f t="shared" si="26"/>
        <v>242</v>
      </c>
      <c r="U505" s="8">
        <v>0</v>
      </c>
      <c r="V505" s="8">
        <v>1</v>
      </c>
      <c r="W505" s="8">
        <v>1</v>
      </c>
      <c r="X505" s="8">
        <v>1</v>
      </c>
      <c r="Y505" s="8">
        <v>1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1</v>
      </c>
      <c r="AF505" s="8">
        <v>0</v>
      </c>
      <c r="AG505" s="8">
        <v>0</v>
      </c>
      <c r="AH505" s="8">
        <v>0</v>
      </c>
      <c r="AI505" s="8">
        <v>1</v>
      </c>
      <c r="AJ505" s="8">
        <v>0</v>
      </c>
      <c r="AK505" s="62" t="s">
        <v>146</v>
      </c>
      <c r="AL505" s="62" t="s">
        <v>50</v>
      </c>
      <c r="AM505" s="62" t="s">
        <v>51</v>
      </c>
      <c r="AN505" s="5"/>
      <c r="AO505" s="7"/>
    </row>
    <row r="506" spans="1:41" ht="15.75" customHeight="1" x14ac:dyDescent="0.25">
      <c r="A506" s="4">
        <v>505</v>
      </c>
      <c r="B506" s="5" t="s">
        <v>658</v>
      </c>
      <c r="C506" s="58">
        <v>2.6</v>
      </c>
      <c r="D506" s="61" t="s">
        <v>530</v>
      </c>
      <c r="E506" s="72" t="s">
        <v>342</v>
      </c>
      <c r="F506" s="62" t="s">
        <v>342</v>
      </c>
      <c r="G506" s="8" t="s">
        <v>43</v>
      </c>
      <c r="H506" s="8">
        <v>1984</v>
      </c>
      <c r="I506" s="62" t="s">
        <v>531</v>
      </c>
      <c r="J506" s="62" t="s">
        <v>532</v>
      </c>
      <c r="K506" s="62" t="s">
        <v>415</v>
      </c>
      <c r="L506" s="62" t="s">
        <v>83</v>
      </c>
      <c r="M506" s="62" t="s">
        <v>47</v>
      </c>
      <c r="N506" s="5">
        <v>0</v>
      </c>
      <c r="O506" s="8">
        <v>0</v>
      </c>
      <c r="P506" s="69">
        <v>81000</v>
      </c>
      <c r="Q506" s="69">
        <v>167000</v>
      </c>
      <c r="R506" s="69">
        <v>124000</v>
      </c>
      <c r="S506" s="62" t="s">
        <v>305</v>
      </c>
      <c r="T506" s="8">
        <f t="shared" si="26"/>
        <v>39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62" t="s">
        <v>508</v>
      </c>
      <c r="AL506" s="62" t="s">
        <v>169</v>
      </c>
      <c r="AM506" s="62" t="s">
        <v>108</v>
      </c>
      <c r="AN506" s="5"/>
      <c r="AO506" s="7"/>
    </row>
    <row r="507" spans="1:41" ht="15.75" customHeight="1" x14ac:dyDescent="0.25">
      <c r="A507" s="4">
        <v>506</v>
      </c>
      <c r="B507" s="5" t="s">
        <v>39</v>
      </c>
      <c r="C507" s="58">
        <v>3.4</v>
      </c>
      <c r="D507" s="61" t="s">
        <v>1090</v>
      </c>
      <c r="E507" s="72" t="s">
        <v>79</v>
      </c>
      <c r="F507" s="62" t="s">
        <v>1091</v>
      </c>
      <c r="G507" s="8" t="s">
        <v>88</v>
      </c>
      <c r="H507" s="8">
        <v>2011</v>
      </c>
      <c r="I507" s="62" t="s">
        <v>44</v>
      </c>
      <c r="J507" s="62" t="s">
        <v>58</v>
      </c>
      <c r="K507" s="62" t="s">
        <v>59</v>
      </c>
      <c r="L507" s="62" t="s">
        <v>83</v>
      </c>
      <c r="M507" s="62" t="s">
        <v>1092</v>
      </c>
      <c r="N507" s="5">
        <v>0</v>
      </c>
      <c r="O507" s="8">
        <v>0</v>
      </c>
      <c r="P507" s="69">
        <v>69000</v>
      </c>
      <c r="Q507" s="69">
        <v>121000</v>
      </c>
      <c r="R507" s="69">
        <v>95000</v>
      </c>
      <c r="S507" s="62" t="s">
        <v>85</v>
      </c>
      <c r="T507" s="8">
        <f t="shared" si="26"/>
        <v>12</v>
      </c>
      <c r="U507" s="8">
        <v>1</v>
      </c>
      <c r="V507" s="8">
        <v>1</v>
      </c>
      <c r="W507" s="8">
        <v>1</v>
      </c>
      <c r="X507" s="8">
        <v>0</v>
      </c>
      <c r="Y507" s="8">
        <v>1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1</v>
      </c>
      <c r="AG507" s="8">
        <v>0</v>
      </c>
      <c r="AH507" s="8">
        <v>0</v>
      </c>
      <c r="AI507" s="8">
        <v>0</v>
      </c>
      <c r="AJ507" s="8">
        <v>0</v>
      </c>
      <c r="AK507" s="62" t="s">
        <v>49</v>
      </c>
      <c r="AL507" s="62" t="s">
        <v>50</v>
      </c>
      <c r="AM507" s="62" t="s">
        <v>77</v>
      </c>
      <c r="AN507" s="5"/>
      <c r="AO507" s="7"/>
    </row>
    <row r="508" spans="1:41" ht="15.75" customHeight="1" x14ac:dyDescent="0.25">
      <c r="A508" s="4">
        <v>507</v>
      </c>
      <c r="B508" s="5" t="s">
        <v>220</v>
      </c>
      <c r="C508" s="58">
        <v>4.4000000000000004</v>
      </c>
      <c r="D508" s="61" t="s">
        <v>489</v>
      </c>
      <c r="E508" s="72" t="s">
        <v>172</v>
      </c>
      <c r="F508" s="62" t="s">
        <v>172</v>
      </c>
      <c r="G508" s="8" t="s">
        <v>88</v>
      </c>
      <c r="H508" s="8">
        <v>2008</v>
      </c>
      <c r="I508" s="62" t="s">
        <v>44</v>
      </c>
      <c r="J508" s="62" t="s">
        <v>100</v>
      </c>
      <c r="K508" s="62" t="s">
        <v>65</v>
      </c>
      <c r="L508" s="62" t="s">
        <v>46</v>
      </c>
      <c r="M508" s="62" t="s">
        <v>47</v>
      </c>
      <c r="N508" s="5">
        <v>0</v>
      </c>
      <c r="O508" s="8">
        <v>0</v>
      </c>
      <c r="P508" s="69">
        <v>97000</v>
      </c>
      <c r="Q508" s="69">
        <v>160000</v>
      </c>
      <c r="R508" s="69">
        <v>128500</v>
      </c>
      <c r="S508" s="62" t="s">
        <v>176</v>
      </c>
      <c r="T508" s="8">
        <f t="shared" si="26"/>
        <v>15</v>
      </c>
      <c r="U508" s="8">
        <v>1</v>
      </c>
      <c r="V508" s="8">
        <v>0</v>
      </c>
      <c r="W508" s="8">
        <v>1</v>
      </c>
      <c r="X508" s="8">
        <v>1</v>
      </c>
      <c r="Y508" s="8">
        <v>1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1</v>
      </c>
      <c r="AF508" s="8">
        <v>1</v>
      </c>
      <c r="AG508" s="8">
        <v>0</v>
      </c>
      <c r="AH508" s="8">
        <v>0</v>
      </c>
      <c r="AI508" s="8">
        <v>0</v>
      </c>
      <c r="AJ508" s="8">
        <v>0</v>
      </c>
      <c r="AK508" s="62" t="s">
        <v>49</v>
      </c>
      <c r="AL508" s="62" t="s">
        <v>169</v>
      </c>
      <c r="AM508" s="62" t="s">
        <v>77</v>
      </c>
      <c r="AN508" s="5"/>
      <c r="AO508" s="7"/>
    </row>
    <row r="509" spans="1:41" ht="15.75" customHeight="1" x14ac:dyDescent="0.25">
      <c r="A509" s="4">
        <v>508</v>
      </c>
      <c r="B509" s="5" t="s">
        <v>1079</v>
      </c>
      <c r="C509" s="58">
        <v>3.2</v>
      </c>
      <c r="D509" s="61" t="s">
        <v>1093</v>
      </c>
      <c r="E509" s="72" t="s">
        <v>98</v>
      </c>
      <c r="F509" s="62" t="s">
        <v>114</v>
      </c>
      <c r="G509" s="8" t="s">
        <v>43</v>
      </c>
      <c r="H509" s="8">
        <v>2006</v>
      </c>
      <c r="I509" s="62" t="s">
        <v>142</v>
      </c>
      <c r="J509" s="62" t="s">
        <v>155</v>
      </c>
      <c r="K509" s="62" t="s">
        <v>111</v>
      </c>
      <c r="L509" s="62" t="s">
        <v>83</v>
      </c>
      <c r="M509" s="62" t="s">
        <v>1094</v>
      </c>
      <c r="N509" s="5">
        <v>0</v>
      </c>
      <c r="O509" s="8">
        <v>0</v>
      </c>
      <c r="P509" s="69">
        <v>150000</v>
      </c>
      <c r="Q509" s="69">
        <v>238000</v>
      </c>
      <c r="R509" s="69">
        <v>194000</v>
      </c>
      <c r="S509" s="62" t="s">
        <v>102</v>
      </c>
      <c r="T509" s="8">
        <f t="shared" si="26"/>
        <v>17</v>
      </c>
      <c r="U509" s="8">
        <v>0</v>
      </c>
      <c r="V509" s="8">
        <v>0</v>
      </c>
      <c r="W509" s="8">
        <v>1</v>
      </c>
      <c r="X509" s="8">
        <v>1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62" t="s">
        <v>49</v>
      </c>
      <c r="AL509" s="62" t="s">
        <v>169</v>
      </c>
      <c r="AM509" s="62" t="s">
        <v>77</v>
      </c>
      <c r="AN509" s="5"/>
      <c r="AO509" s="7"/>
    </row>
    <row r="510" spans="1:41" ht="15.75" customHeight="1" x14ac:dyDescent="0.25">
      <c r="A510" s="4">
        <v>509</v>
      </c>
      <c r="B510" s="5" t="s">
        <v>39</v>
      </c>
      <c r="C510" s="58">
        <v>3.5</v>
      </c>
      <c r="D510" s="61" t="s">
        <v>1095</v>
      </c>
      <c r="E510" s="72" t="s">
        <v>79</v>
      </c>
      <c r="F510" s="62" t="s">
        <v>80</v>
      </c>
      <c r="G510" s="8" t="s">
        <v>88</v>
      </c>
      <c r="H510" s="8">
        <v>2005</v>
      </c>
      <c r="I510" s="62" t="s">
        <v>89</v>
      </c>
      <c r="J510" s="62" t="s">
        <v>82</v>
      </c>
      <c r="K510" s="62" t="s">
        <v>65</v>
      </c>
      <c r="L510" s="62" t="s">
        <v>83</v>
      </c>
      <c r="M510" s="62" t="s">
        <v>47</v>
      </c>
      <c r="N510" s="5">
        <v>0</v>
      </c>
      <c r="O510" s="8">
        <v>0</v>
      </c>
      <c r="P510" s="69">
        <v>77000</v>
      </c>
      <c r="Q510" s="69">
        <v>132000</v>
      </c>
      <c r="R510" s="69">
        <v>104500</v>
      </c>
      <c r="S510" s="62" t="s">
        <v>85</v>
      </c>
      <c r="T510" s="8">
        <f t="shared" si="26"/>
        <v>18</v>
      </c>
      <c r="U510" s="8">
        <v>1</v>
      </c>
      <c r="V510" s="8">
        <v>1</v>
      </c>
      <c r="W510" s="8">
        <v>1</v>
      </c>
      <c r="X510" s="8">
        <v>1</v>
      </c>
      <c r="Y510" s="8">
        <v>1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62" t="s">
        <v>49</v>
      </c>
      <c r="AL510" s="62" t="s">
        <v>50</v>
      </c>
      <c r="AM510" s="62" t="s">
        <v>51</v>
      </c>
      <c r="AN510" s="5"/>
      <c r="AO510" s="7"/>
    </row>
    <row r="511" spans="1:41" ht="15.75" customHeight="1" x14ac:dyDescent="0.25">
      <c r="A511" s="4">
        <v>510</v>
      </c>
      <c r="B511" s="5" t="s">
        <v>856</v>
      </c>
      <c r="C511" s="58">
        <v>3.7</v>
      </c>
      <c r="D511" s="61" t="s">
        <v>857</v>
      </c>
      <c r="E511" s="72" t="s">
        <v>858</v>
      </c>
      <c r="F511" s="62" t="s">
        <v>858</v>
      </c>
      <c r="G511" s="8" t="s">
        <v>43</v>
      </c>
      <c r="H511" s="8">
        <v>1966</v>
      </c>
      <c r="I511" s="62" t="s">
        <v>106</v>
      </c>
      <c r="J511" s="62" t="s">
        <v>58</v>
      </c>
      <c r="K511" s="62" t="s">
        <v>59</v>
      </c>
      <c r="L511" s="62" t="s">
        <v>66</v>
      </c>
      <c r="M511" s="62" t="s">
        <v>47</v>
      </c>
      <c r="N511" s="5">
        <v>1</v>
      </c>
      <c r="O511" s="8">
        <v>0</v>
      </c>
      <c r="P511" s="69">
        <v>49000</v>
      </c>
      <c r="Q511" s="69">
        <v>81000</v>
      </c>
      <c r="R511" s="69">
        <v>65000</v>
      </c>
      <c r="S511" s="62" t="s">
        <v>163</v>
      </c>
      <c r="T511" s="8">
        <f t="shared" si="26"/>
        <v>57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62" t="s">
        <v>107</v>
      </c>
      <c r="AL511" s="62" t="s">
        <v>50</v>
      </c>
      <c r="AM511" s="62" t="s">
        <v>77</v>
      </c>
      <c r="AN511" s="5"/>
      <c r="AO511" s="7"/>
    </row>
    <row r="512" spans="1:41" ht="15.75" customHeight="1" x14ac:dyDescent="0.25">
      <c r="A512" s="4">
        <v>511</v>
      </c>
      <c r="B512" s="5" t="s">
        <v>1096</v>
      </c>
      <c r="C512" s="58">
        <v>4.2</v>
      </c>
      <c r="D512" s="61" t="s">
        <v>212</v>
      </c>
      <c r="E512" s="72" t="s">
        <v>420</v>
      </c>
      <c r="F512" s="62" t="s">
        <v>172</v>
      </c>
      <c r="G512" s="8" t="s">
        <v>88</v>
      </c>
      <c r="H512" s="8">
        <v>2008</v>
      </c>
      <c r="I512" s="62" t="s">
        <v>44</v>
      </c>
      <c r="J512" s="62" t="s">
        <v>213</v>
      </c>
      <c r="K512" s="62" t="s">
        <v>111</v>
      </c>
      <c r="L512" s="62" t="s">
        <v>83</v>
      </c>
      <c r="M512" s="62" t="s">
        <v>47</v>
      </c>
      <c r="N512" s="5">
        <v>0</v>
      </c>
      <c r="O512" s="8">
        <v>0</v>
      </c>
      <c r="P512" s="69">
        <v>59000</v>
      </c>
      <c r="Q512" s="69">
        <v>112000</v>
      </c>
      <c r="R512" s="69">
        <v>85500</v>
      </c>
      <c r="S512" s="62" t="s">
        <v>423</v>
      </c>
      <c r="T512" s="8">
        <f t="shared" si="26"/>
        <v>15</v>
      </c>
      <c r="U512" s="8">
        <v>1</v>
      </c>
      <c r="V512" s="8">
        <v>0</v>
      </c>
      <c r="W512" s="8">
        <v>0</v>
      </c>
      <c r="X512" s="8">
        <v>1</v>
      </c>
      <c r="Y512" s="8">
        <v>1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1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62" t="s">
        <v>146</v>
      </c>
      <c r="AL512" s="62" t="s">
        <v>50</v>
      </c>
      <c r="AM512" s="62" t="s">
        <v>77</v>
      </c>
      <c r="AN512" s="5"/>
      <c r="AO512" s="7"/>
    </row>
    <row r="513" spans="1:41" ht="15.75" customHeight="1" x14ac:dyDescent="0.25">
      <c r="A513" s="4">
        <v>512</v>
      </c>
      <c r="B513" s="5" t="s">
        <v>1097</v>
      </c>
      <c r="C513" s="58">
        <v>4.2</v>
      </c>
      <c r="D513" s="61" t="s">
        <v>520</v>
      </c>
      <c r="E513" s="72" t="s">
        <v>628</v>
      </c>
      <c r="F513" s="62" t="s">
        <v>522</v>
      </c>
      <c r="G513" s="8" t="s">
        <v>56</v>
      </c>
      <c r="H513" s="8" t="s">
        <v>47</v>
      </c>
      <c r="I513" s="62" t="s">
        <v>160</v>
      </c>
      <c r="J513" s="62" t="s">
        <v>523</v>
      </c>
      <c r="K513" s="62" t="s">
        <v>524</v>
      </c>
      <c r="L513" s="62" t="s">
        <v>83</v>
      </c>
      <c r="M513" s="62" t="s">
        <v>47</v>
      </c>
      <c r="N513" s="5">
        <v>0</v>
      </c>
      <c r="O513" s="8">
        <v>0</v>
      </c>
      <c r="P513" s="69">
        <v>35000</v>
      </c>
      <c r="Q513" s="69">
        <v>65000</v>
      </c>
      <c r="R513" s="69">
        <v>50000</v>
      </c>
      <c r="S513" s="62" t="s">
        <v>525</v>
      </c>
      <c r="T513" s="8" t="s">
        <v>47</v>
      </c>
      <c r="U513" s="8">
        <v>0</v>
      </c>
      <c r="V513" s="8">
        <v>0</v>
      </c>
      <c r="W513" s="8">
        <v>1</v>
      </c>
      <c r="X513" s="8">
        <v>1</v>
      </c>
      <c r="Y513" s="8">
        <v>1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62" t="s">
        <v>132</v>
      </c>
      <c r="AL513" s="62" t="s">
        <v>50</v>
      </c>
      <c r="AM513" s="62" t="s">
        <v>77</v>
      </c>
      <c r="AN513" s="5"/>
      <c r="AO513" s="7"/>
    </row>
    <row r="514" spans="1:41" ht="15.75" customHeight="1" x14ac:dyDescent="0.25">
      <c r="A514" s="4">
        <v>513</v>
      </c>
      <c r="B514" s="5" t="s">
        <v>224</v>
      </c>
      <c r="C514" s="58">
        <v>3.1</v>
      </c>
      <c r="D514" s="61" t="s">
        <v>691</v>
      </c>
      <c r="E514" s="72" t="s">
        <v>1098</v>
      </c>
      <c r="F514" s="62" t="s">
        <v>692</v>
      </c>
      <c r="G514" s="8" t="s">
        <v>70</v>
      </c>
      <c r="H514" s="8">
        <v>1997</v>
      </c>
      <c r="I514" s="62" t="s">
        <v>89</v>
      </c>
      <c r="J514" s="62" t="s">
        <v>693</v>
      </c>
      <c r="K514" s="62" t="s">
        <v>144</v>
      </c>
      <c r="L514" s="62" t="s">
        <v>128</v>
      </c>
      <c r="M514" s="62" t="s">
        <v>694</v>
      </c>
      <c r="N514" s="5">
        <v>0</v>
      </c>
      <c r="O514" s="8">
        <v>0</v>
      </c>
      <c r="P514" s="69">
        <v>79000</v>
      </c>
      <c r="Q514" s="69">
        <v>147000</v>
      </c>
      <c r="R514" s="69">
        <v>113000</v>
      </c>
      <c r="S514" s="62" t="s">
        <v>102</v>
      </c>
      <c r="T514" s="8">
        <f t="shared" ref="T514:T552" si="27">2023-H514</f>
        <v>26</v>
      </c>
      <c r="U514" s="8">
        <v>1</v>
      </c>
      <c r="V514" s="8">
        <v>1</v>
      </c>
      <c r="W514" s="8">
        <v>1</v>
      </c>
      <c r="X514" s="8">
        <v>1</v>
      </c>
      <c r="Y514" s="8">
        <v>1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1</v>
      </c>
      <c r="AJ514" s="8">
        <v>0</v>
      </c>
      <c r="AK514" s="62" t="s">
        <v>146</v>
      </c>
      <c r="AL514" s="62" t="s">
        <v>50</v>
      </c>
      <c r="AM514" s="62" t="s">
        <v>77</v>
      </c>
      <c r="AN514" s="5"/>
      <c r="AO514" s="7"/>
    </row>
    <row r="515" spans="1:41" ht="15.75" customHeight="1" x14ac:dyDescent="0.25">
      <c r="A515" s="4">
        <v>514</v>
      </c>
      <c r="B515" s="5" t="s">
        <v>1099</v>
      </c>
      <c r="C515" s="58">
        <v>3.9</v>
      </c>
      <c r="D515" s="61" t="s">
        <v>1100</v>
      </c>
      <c r="E515" s="72" t="s">
        <v>134</v>
      </c>
      <c r="F515" s="62" t="s">
        <v>1101</v>
      </c>
      <c r="G515" s="8" t="s">
        <v>56</v>
      </c>
      <c r="H515" s="8">
        <v>1830</v>
      </c>
      <c r="I515" s="62" t="s">
        <v>89</v>
      </c>
      <c r="J515" s="62" t="s">
        <v>136</v>
      </c>
      <c r="K515" s="62" t="s">
        <v>136</v>
      </c>
      <c r="L515" s="62" t="s">
        <v>128</v>
      </c>
      <c r="M515" s="62" t="s">
        <v>1102</v>
      </c>
      <c r="N515" s="5">
        <v>0</v>
      </c>
      <c r="O515" s="8">
        <v>0</v>
      </c>
      <c r="P515" s="69">
        <v>62000</v>
      </c>
      <c r="Q515" s="69">
        <v>119000</v>
      </c>
      <c r="R515" s="69">
        <v>90500</v>
      </c>
      <c r="S515" s="62" t="s">
        <v>138</v>
      </c>
      <c r="T515" s="8">
        <f t="shared" si="27"/>
        <v>193</v>
      </c>
      <c r="U515" s="8">
        <v>0</v>
      </c>
      <c r="V515" s="8">
        <v>0</v>
      </c>
      <c r="W515" s="8">
        <v>1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62" t="s">
        <v>107</v>
      </c>
      <c r="AL515" s="62" t="s">
        <v>50</v>
      </c>
      <c r="AM515" s="62" t="s">
        <v>51</v>
      </c>
      <c r="AN515" s="5"/>
      <c r="AO515" s="7"/>
    </row>
    <row r="516" spans="1:41" ht="15.75" customHeight="1" x14ac:dyDescent="0.25">
      <c r="A516" s="4">
        <v>515</v>
      </c>
      <c r="B516" s="5" t="s">
        <v>220</v>
      </c>
      <c r="C516" s="58">
        <v>4.3</v>
      </c>
      <c r="D516" s="61" t="s">
        <v>1103</v>
      </c>
      <c r="E516" s="72" t="s">
        <v>461</v>
      </c>
      <c r="F516" s="62" t="s">
        <v>462</v>
      </c>
      <c r="G516" s="8" t="s">
        <v>81</v>
      </c>
      <c r="H516" s="8">
        <v>2008</v>
      </c>
      <c r="I516" s="62" t="s">
        <v>44</v>
      </c>
      <c r="J516" s="62" t="s">
        <v>216</v>
      </c>
      <c r="K516" s="62" t="s">
        <v>111</v>
      </c>
      <c r="L516" s="62" t="s">
        <v>83</v>
      </c>
      <c r="M516" s="62" t="s">
        <v>1104</v>
      </c>
      <c r="N516" s="5">
        <v>0</v>
      </c>
      <c r="O516" s="8">
        <v>0</v>
      </c>
      <c r="P516" s="69">
        <v>119000</v>
      </c>
      <c r="Q516" s="69">
        <v>187000</v>
      </c>
      <c r="R516" s="69">
        <v>153000</v>
      </c>
      <c r="S516" s="62" t="s">
        <v>102</v>
      </c>
      <c r="T516" s="8">
        <f t="shared" si="27"/>
        <v>15</v>
      </c>
      <c r="U516" s="8">
        <v>1</v>
      </c>
      <c r="V516" s="8">
        <v>1</v>
      </c>
      <c r="W516" s="8">
        <v>0</v>
      </c>
      <c r="X516" s="8">
        <v>1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62" t="s">
        <v>49</v>
      </c>
      <c r="AL516" s="62" t="s">
        <v>169</v>
      </c>
      <c r="AM516" s="62" t="s">
        <v>77</v>
      </c>
      <c r="AN516" s="5"/>
      <c r="AO516" s="7"/>
    </row>
    <row r="517" spans="1:41" ht="15.75" customHeight="1" x14ac:dyDescent="0.25">
      <c r="A517" s="4">
        <v>516</v>
      </c>
      <c r="B517" s="5" t="s">
        <v>1105</v>
      </c>
      <c r="C517" s="58">
        <v>3.3</v>
      </c>
      <c r="D517" s="61" t="s">
        <v>1106</v>
      </c>
      <c r="E517" s="72" t="s">
        <v>1107</v>
      </c>
      <c r="F517" s="62" t="s">
        <v>1107</v>
      </c>
      <c r="G517" s="8" t="s">
        <v>70</v>
      </c>
      <c r="H517" s="8">
        <v>1988</v>
      </c>
      <c r="I517" s="62" t="s">
        <v>89</v>
      </c>
      <c r="J517" s="62" t="s">
        <v>100</v>
      </c>
      <c r="K517" s="62" t="s">
        <v>65</v>
      </c>
      <c r="L517" s="62" t="s">
        <v>60</v>
      </c>
      <c r="M517" s="62" t="s">
        <v>1108</v>
      </c>
      <c r="N517" s="5">
        <v>0</v>
      </c>
      <c r="O517" s="8">
        <v>0</v>
      </c>
      <c r="P517" s="69">
        <v>90000</v>
      </c>
      <c r="Q517" s="69">
        <v>157000</v>
      </c>
      <c r="R517" s="69">
        <v>123500</v>
      </c>
      <c r="S517" s="62" t="s">
        <v>102</v>
      </c>
      <c r="T517" s="8">
        <f t="shared" si="27"/>
        <v>35</v>
      </c>
      <c r="U517" s="8">
        <v>0</v>
      </c>
      <c r="V517" s="8">
        <v>0</v>
      </c>
      <c r="W517" s="8">
        <v>0</v>
      </c>
      <c r="X517" s="8">
        <v>1</v>
      </c>
      <c r="Y517" s="8">
        <v>1</v>
      </c>
      <c r="Z517" s="8">
        <v>1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1</v>
      </c>
      <c r="AG517" s="8">
        <v>0</v>
      </c>
      <c r="AH517" s="8">
        <v>0</v>
      </c>
      <c r="AI517" s="8">
        <v>1</v>
      </c>
      <c r="AJ517" s="8">
        <v>0</v>
      </c>
      <c r="AK517" s="62" t="s">
        <v>132</v>
      </c>
      <c r="AL517" s="62" t="s">
        <v>50</v>
      </c>
      <c r="AM517" s="62" t="s">
        <v>51</v>
      </c>
      <c r="AN517" s="5"/>
      <c r="AO517" s="7"/>
    </row>
    <row r="518" spans="1:41" ht="15.75" customHeight="1" x14ac:dyDescent="0.25">
      <c r="A518" s="4">
        <v>517</v>
      </c>
      <c r="B518" s="5" t="s">
        <v>1109</v>
      </c>
      <c r="C518" s="58">
        <v>3.9</v>
      </c>
      <c r="D518" s="61" t="s">
        <v>1110</v>
      </c>
      <c r="E518" s="72" t="s">
        <v>79</v>
      </c>
      <c r="F518" s="62" t="s">
        <v>80</v>
      </c>
      <c r="G518" s="8" t="s">
        <v>88</v>
      </c>
      <c r="H518" s="8">
        <v>2010</v>
      </c>
      <c r="I518" s="62" t="s">
        <v>44</v>
      </c>
      <c r="J518" s="62" t="s">
        <v>110</v>
      </c>
      <c r="K518" s="62" t="s">
        <v>111</v>
      </c>
      <c r="L518" s="62" t="s">
        <v>180</v>
      </c>
      <c r="M518" s="62" t="s">
        <v>47</v>
      </c>
      <c r="N518" s="5">
        <v>0</v>
      </c>
      <c r="O518" s="8">
        <v>0</v>
      </c>
      <c r="P518" s="69">
        <v>32000</v>
      </c>
      <c r="Q518" s="69">
        <v>62000</v>
      </c>
      <c r="R518" s="69">
        <v>47000</v>
      </c>
      <c r="S518" s="62" t="s">
        <v>85</v>
      </c>
      <c r="T518" s="8">
        <f t="shared" si="27"/>
        <v>13</v>
      </c>
      <c r="U518" s="8">
        <v>0</v>
      </c>
      <c r="V518" s="8">
        <v>1</v>
      </c>
      <c r="W518" s="8">
        <v>0</v>
      </c>
      <c r="X518" s="8">
        <v>0</v>
      </c>
      <c r="Y518" s="8">
        <v>1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62" t="s">
        <v>132</v>
      </c>
      <c r="AL518" s="62" t="s">
        <v>169</v>
      </c>
      <c r="AM518" s="62" t="s">
        <v>77</v>
      </c>
      <c r="AN518" s="5"/>
      <c r="AO518" s="7"/>
    </row>
    <row r="519" spans="1:41" ht="15.75" customHeight="1" x14ac:dyDescent="0.25">
      <c r="A519" s="4">
        <v>518</v>
      </c>
      <c r="B519" s="5" t="s">
        <v>659</v>
      </c>
      <c r="C519" s="58">
        <v>3.5</v>
      </c>
      <c r="D519" s="61" t="s">
        <v>660</v>
      </c>
      <c r="E519" s="72" t="s">
        <v>661</v>
      </c>
      <c r="F519" s="62" t="s">
        <v>662</v>
      </c>
      <c r="G519" s="8" t="s">
        <v>43</v>
      </c>
      <c r="H519" s="8">
        <v>1996</v>
      </c>
      <c r="I519" s="62" t="s">
        <v>160</v>
      </c>
      <c r="J519" s="62" t="s">
        <v>58</v>
      </c>
      <c r="K519" s="62" t="s">
        <v>59</v>
      </c>
      <c r="L519" s="62" t="s">
        <v>74</v>
      </c>
      <c r="M519" s="62" t="s">
        <v>47</v>
      </c>
      <c r="N519" s="5">
        <v>0</v>
      </c>
      <c r="O519" s="8">
        <v>0</v>
      </c>
      <c r="P519" s="69">
        <v>42000</v>
      </c>
      <c r="Q519" s="69">
        <v>86000</v>
      </c>
      <c r="R519" s="69">
        <v>64000</v>
      </c>
      <c r="S519" s="62" t="s">
        <v>102</v>
      </c>
      <c r="T519" s="8">
        <f t="shared" si="27"/>
        <v>27</v>
      </c>
      <c r="U519" s="8">
        <v>0</v>
      </c>
      <c r="V519" s="8">
        <v>0</v>
      </c>
      <c r="W519" s="8">
        <v>0</v>
      </c>
      <c r="X519" s="8">
        <v>0</v>
      </c>
      <c r="Y519" s="8">
        <v>1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1</v>
      </c>
      <c r="AG519" s="8">
        <v>0</v>
      </c>
      <c r="AH519" s="8">
        <v>0</v>
      </c>
      <c r="AI519" s="8">
        <v>0</v>
      </c>
      <c r="AJ519" s="8">
        <v>0</v>
      </c>
      <c r="AK519" s="62" t="s">
        <v>486</v>
      </c>
      <c r="AL519" s="62" t="s">
        <v>50</v>
      </c>
      <c r="AM519" s="62" t="s">
        <v>77</v>
      </c>
      <c r="AN519" s="5"/>
      <c r="AO519" s="7"/>
    </row>
    <row r="520" spans="1:41" ht="15.75" customHeight="1" x14ac:dyDescent="0.25">
      <c r="A520" s="4">
        <v>519</v>
      </c>
      <c r="B520" s="5" t="s">
        <v>1111</v>
      </c>
      <c r="C520" s="58">
        <v>4</v>
      </c>
      <c r="D520" s="61" t="s">
        <v>1112</v>
      </c>
      <c r="E520" s="72" t="s">
        <v>98</v>
      </c>
      <c r="F520" s="62" t="s">
        <v>189</v>
      </c>
      <c r="G520" s="8" t="s">
        <v>56</v>
      </c>
      <c r="H520" s="8">
        <v>1982</v>
      </c>
      <c r="I520" s="62" t="s">
        <v>89</v>
      </c>
      <c r="J520" s="62" t="s">
        <v>216</v>
      </c>
      <c r="K520" s="62" t="s">
        <v>111</v>
      </c>
      <c r="L520" s="62" t="s">
        <v>194</v>
      </c>
      <c r="M520" s="62" t="s">
        <v>1113</v>
      </c>
      <c r="N520" s="5">
        <v>0</v>
      </c>
      <c r="O520" s="8">
        <v>0</v>
      </c>
      <c r="P520" s="69">
        <v>116000</v>
      </c>
      <c r="Q520" s="69">
        <v>208000</v>
      </c>
      <c r="R520" s="69">
        <v>162000</v>
      </c>
      <c r="S520" s="62" t="s">
        <v>102</v>
      </c>
      <c r="T520" s="8">
        <f t="shared" si="27"/>
        <v>41</v>
      </c>
      <c r="U520" s="8">
        <v>1</v>
      </c>
      <c r="V520" s="8">
        <v>0</v>
      </c>
      <c r="W520" s="8">
        <v>0</v>
      </c>
      <c r="X520" s="8">
        <v>1</v>
      </c>
      <c r="Y520" s="8">
        <v>1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1</v>
      </c>
      <c r="AF520" s="8">
        <v>1</v>
      </c>
      <c r="AG520" s="8">
        <v>1</v>
      </c>
      <c r="AH520" s="8">
        <v>0</v>
      </c>
      <c r="AI520" s="8">
        <v>0</v>
      </c>
      <c r="AJ520" s="8">
        <v>0</v>
      </c>
      <c r="AK520" s="62" t="s">
        <v>49</v>
      </c>
      <c r="AL520" s="62" t="s">
        <v>50</v>
      </c>
      <c r="AM520" s="62" t="s">
        <v>51</v>
      </c>
      <c r="AN520" s="5"/>
      <c r="AO520" s="7"/>
    </row>
    <row r="521" spans="1:41" ht="15.75" customHeight="1" x14ac:dyDescent="0.25">
      <c r="A521" s="4">
        <v>520</v>
      </c>
      <c r="B521" s="5" t="s">
        <v>859</v>
      </c>
      <c r="C521" s="58">
        <v>3.9</v>
      </c>
      <c r="D521" s="61" t="s">
        <v>860</v>
      </c>
      <c r="E521" s="72" t="s">
        <v>79</v>
      </c>
      <c r="F521" s="62" t="s">
        <v>861</v>
      </c>
      <c r="G521" s="8" t="s">
        <v>56</v>
      </c>
      <c r="H521" s="8">
        <v>1913</v>
      </c>
      <c r="I521" s="62" t="s">
        <v>89</v>
      </c>
      <c r="J521" s="62" t="s">
        <v>136</v>
      </c>
      <c r="K521" s="62" t="s">
        <v>136</v>
      </c>
      <c r="L521" s="62" t="s">
        <v>128</v>
      </c>
      <c r="M521" s="62" t="s">
        <v>862</v>
      </c>
      <c r="N521" s="5">
        <v>0</v>
      </c>
      <c r="O521" s="8">
        <v>0</v>
      </c>
      <c r="P521" s="69">
        <v>102000</v>
      </c>
      <c r="Q521" s="69">
        <v>172000</v>
      </c>
      <c r="R521" s="69">
        <v>137000</v>
      </c>
      <c r="S521" s="62" t="s">
        <v>85</v>
      </c>
      <c r="T521" s="8">
        <f t="shared" si="27"/>
        <v>110</v>
      </c>
      <c r="U521" s="8">
        <v>1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62" t="s">
        <v>49</v>
      </c>
      <c r="AL521" s="62" t="s">
        <v>169</v>
      </c>
      <c r="AM521" s="62" t="s">
        <v>108</v>
      </c>
      <c r="AN521" s="5"/>
      <c r="AO521" s="7"/>
    </row>
    <row r="522" spans="1:41" ht="15.75" customHeight="1" x14ac:dyDescent="0.25">
      <c r="A522" s="4">
        <v>521</v>
      </c>
      <c r="B522" s="5" t="s">
        <v>663</v>
      </c>
      <c r="C522" s="58">
        <v>3</v>
      </c>
      <c r="D522" s="61" t="s">
        <v>664</v>
      </c>
      <c r="E522" s="72" t="s">
        <v>665</v>
      </c>
      <c r="F522" s="62" t="s">
        <v>665</v>
      </c>
      <c r="G522" s="8" t="s">
        <v>56</v>
      </c>
      <c r="H522" s="8">
        <v>1958</v>
      </c>
      <c r="I522" s="62" t="s">
        <v>44</v>
      </c>
      <c r="J522" s="62" t="s">
        <v>666</v>
      </c>
      <c r="K522" s="62" t="s">
        <v>116</v>
      </c>
      <c r="L522" s="62" t="s">
        <v>128</v>
      </c>
      <c r="M522" s="62" t="s">
        <v>667</v>
      </c>
      <c r="N522" s="5">
        <v>0</v>
      </c>
      <c r="O522" s="8">
        <v>0</v>
      </c>
      <c r="P522" s="69">
        <v>69000</v>
      </c>
      <c r="Q522" s="69">
        <v>127000</v>
      </c>
      <c r="R522" s="69">
        <v>98000</v>
      </c>
      <c r="S522" s="62" t="s">
        <v>542</v>
      </c>
      <c r="T522" s="8">
        <f t="shared" si="27"/>
        <v>65</v>
      </c>
      <c r="U522" s="8">
        <v>1</v>
      </c>
      <c r="V522" s="8">
        <v>0</v>
      </c>
      <c r="W522" s="8">
        <v>0</v>
      </c>
      <c r="X522" s="8">
        <v>0</v>
      </c>
      <c r="Y522" s="8">
        <v>1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62" t="s">
        <v>146</v>
      </c>
      <c r="AL522" s="62" t="s">
        <v>169</v>
      </c>
      <c r="AM522" s="62" t="s">
        <v>51</v>
      </c>
      <c r="AN522" s="5"/>
      <c r="AO522" s="7"/>
    </row>
    <row r="523" spans="1:41" ht="15.75" customHeight="1" x14ac:dyDescent="0.25">
      <c r="A523" s="4">
        <v>522</v>
      </c>
      <c r="B523" s="5" t="s">
        <v>39</v>
      </c>
      <c r="C523" s="58">
        <v>3.7</v>
      </c>
      <c r="D523" s="61" t="s">
        <v>275</v>
      </c>
      <c r="E523" s="72" t="s">
        <v>276</v>
      </c>
      <c r="F523" s="62" t="s">
        <v>277</v>
      </c>
      <c r="G523" s="8" t="s">
        <v>56</v>
      </c>
      <c r="H523" s="8">
        <v>1863</v>
      </c>
      <c r="I523" s="62" t="s">
        <v>89</v>
      </c>
      <c r="J523" s="62" t="s">
        <v>168</v>
      </c>
      <c r="K523" s="62" t="s">
        <v>162</v>
      </c>
      <c r="L523" s="62" t="s">
        <v>128</v>
      </c>
      <c r="M523" s="62" t="s">
        <v>278</v>
      </c>
      <c r="N523" s="5">
        <v>0</v>
      </c>
      <c r="O523" s="8">
        <v>0</v>
      </c>
      <c r="P523" s="69">
        <v>86000</v>
      </c>
      <c r="Q523" s="69">
        <v>144000</v>
      </c>
      <c r="R523" s="69">
        <v>115000</v>
      </c>
      <c r="S523" s="62" t="s">
        <v>85</v>
      </c>
      <c r="T523" s="8">
        <f t="shared" si="27"/>
        <v>160</v>
      </c>
      <c r="U523" s="8">
        <v>1</v>
      </c>
      <c r="V523" s="8">
        <v>0</v>
      </c>
      <c r="W523" s="8">
        <v>0</v>
      </c>
      <c r="X523" s="8">
        <v>1</v>
      </c>
      <c r="Y523" s="8">
        <v>1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62" t="s">
        <v>49</v>
      </c>
      <c r="AL523" s="62" t="s">
        <v>50</v>
      </c>
      <c r="AM523" s="62" t="s">
        <v>51</v>
      </c>
      <c r="AN523" s="5"/>
      <c r="AO523" s="7"/>
    </row>
    <row r="524" spans="1:41" ht="15.75" customHeight="1" x14ac:dyDescent="0.25">
      <c r="A524" s="4">
        <v>523</v>
      </c>
      <c r="B524" s="5" t="s">
        <v>220</v>
      </c>
      <c r="C524" s="58">
        <v>3.5</v>
      </c>
      <c r="D524" s="61" t="s">
        <v>221</v>
      </c>
      <c r="E524" s="72" t="s">
        <v>1114</v>
      </c>
      <c r="F524" s="62" t="s">
        <v>223</v>
      </c>
      <c r="G524" s="8" t="s">
        <v>120</v>
      </c>
      <c r="H524" s="8">
        <v>1870</v>
      </c>
      <c r="I524" s="62" t="s">
        <v>89</v>
      </c>
      <c r="J524" s="62" t="s">
        <v>136</v>
      </c>
      <c r="K524" s="62" t="s">
        <v>136</v>
      </c>
      <c r="L524" s="62" t="s">
        <v>91</v>
      </c>
      <c r="M524" s="62" t="s">
        <v>47</v>
      </c>
      <c r="N524" s="5">
        <v>0</v>
      </c>
      <c r="O524" s="8">
        <v>0</v>
      </c>
      <c r="P524" s="69">
        <v>102000</v>
      </c>
      <c r="Q524" s="69">
        <v>165000</v>
      </c>
      <c r="R524" s="69">
        <v>133500</v>
      </c>
      <c r="S524" s="62" t="s">
        <v>163</v>
      </c>
      <c r="T524" s="8">
        <f t="shared" si="27"/>
        <v>153</v>
      </c>
      <c r="U524" s="8">
        <v>1</v>
      </c>
      <c r="V524" s="8">
        <v>0</v>
      </c>
      <c r="W524" s="8">
        <v>0</v>
      </c>
      <c r="X524" s="8">
        <v>1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62" t="s">
        <v>49</v>
      </c>
      <c r="AL524" s="62" t="s">
        <v>169</v>
      </c>
      <c r="AM524" s="62" t="s">
        <v>51</v>
      </c>
      <c r="AN524" s="5"/>
      <c r="AO524" s="7"/>
    </row>
    <row r="525" spans="1:41" ht="15.75" customHeight="1" x14ac:dyDescent="0.25">
      <c r="A525" s="4">
        <v>524</v>
      </c>
      <c r="B525" s="5" t="s">
        <v>224</v>
      </c>
      <c r="C525" s="58">
        <v>4</v>
      </c>
      <c r="D525" s="61" t="s">
        <v>158</v>
      </c>
      <c r="E525" s="72" t="s">
        <v>159</v>
      </c>
      <c r="F525" s="62" t="s">
        <v>159</v>
      </c>
      <c r="G525" s="8" t="s">
        <v>43</v>
      </c>
      <c r="H525" s="8">
        <v>1915</v>
      </c>
      <c r="I525" s="62" t="s">
        <v>160</v>
      </c>
      <c r="J525" s="62" t="s">
        <v>161</v>
      </c>
      <c r="K525" s="62" t="s">
        <v>162</v>
      </c>
      <c r="L525" s="62" t="s">
        <v>74</v>
      </c>
      <c r="M525" s="62" t="s">
        <v>47</v>
      </c>
      <c r="N525" s="5">
        <v>0</v>
      </c>
      <c r="O525" s="8">
        <v>0</v>
      </c>
      <c r="P525" s="69">
        <v>74000</v>
      </c>
      <c r="Q525" s="69">
        <v>124000</v>
      </c>
      <c r="R525" s="69">
        <v>99000</v>
      </c>
      <c r="S525" s="62" t="s">
        <v>163</v>
      </c>
      <c r="T525" s="8">
        <f t="shared" si="27"/>
        <v>108</v>
      </c>
      <c r="U525" s="8">
        <v>1</v>
      </c>
      <c r="V525" s="8">
        <v>0</v>
      </c>
      <c r="W525" s="8">
        <v>1</v>
      </c>
      <c r="X525" s="8">
        <v>0</v>
      </c>
      <c r="Y525" s="8">
        <v>1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62" t="s">
        <v>146</v>
      </c>
      <c r="AL525" s="62" t="s">
        <v>50</v>
      </c>
      <c r="AM525" s="62" t="s">
        <v>51</v>
      </c>
      <c r="AN525" s="5"/>
      <c r="AO525" s="7"/>
    </row>
    <row r="526" spans="1:41" ht="15.75" customHeight="1" x14ac:dyDescent="0.25">
      <c r="A526" s="4">
        <v>525</v>
      </c>
      <c r="B526" s="5" t="s">
        <v>670</v>
      </c>
      <c r="C526" s="58">
        <v>3.3</v>
      </c>
      <c r="D526" s="61" t="s">
        <v>671</v>
      </c>
      <c r="E526" s="72" t="s">
        <v>401</v>
      </c>
      <c r="F526" s="62" t="s">
        <v>401</v>
      </c>
      <c r="G526" s="8" t="s">
        <v>43</v>
      </c>
      <c r="H526" s="8">
        <v>1964</v>
      </c>
      <c r="I526" s="62" t="s">
        <v>44</v>
      </c>
      <c r="J526" s="62" t="s">
        <v>657</v>
      </c>
      <c r="K526" s="62" t="s">
        <v>427</v>
      </c>
      <c r="L526" s="62" t="s">
        <v>83</v>
      </c>
      <c r="M526" s="62" t="s">
        <v>47</v>
      </c>
      <c r="N526" s="5">
        <v>0</v>
      </c>
      <c r="O526" s="8">
        <v>0</v>
      </c>
      <c r="P526" s="69">
        <v>40000</v>
      </c>
      <c r="Q526" s="69">
        <v>68000</v>
      </c>
      <c r="R526" s="69">
        <v>54000</v>
      </c>
      <c r="S526" s="62" t="s">
        <v>403</v>
      </c>
      <c r="T526" s="8">
        <f t="shared" si="27"/>
        <v>59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62" t="s">
        <v>107</v>
      </c>
      <c r="AL526" s="62" t="s">
        <v>50</v>
      </c>
      <c r="AM526" s="62" t="s">
        <v>77</v>
      </c>
      <c r="AN526" s="5"/>
      <c r="AO526" s="7"/>
    </row>
    <row r="527" spans="1:41" ht="15.75" customHeight="1" x14ac:dyDescent="0.25">
      <c r="A527" s="4">
        <v>526</v>
      </c>
      <c r="B527" s="5" t="s">
        <v>464</v>
      </c>
      <c r="C527" s="58">
        <v>3.2</v>
      </c>
      <c r="D527" s="61" t="s">
        <v>1115</v>
      </c>
      <c r="E527" s="72" t="s">
        <v>926</v>
      </c>
      <c r="F527" s="62" t="s">
        <v>324</v>
      </c>
      <c r="G527" s="8" t="s">
        <v>70</v>
      </c>
      <c r="H527" s="8">
        <v>2004</v>
      </c>
      <c r="I527" s="62" t="s">
        <v>44</v>
      </c>
      <c r="J527" s="62" t="s">
        <v>58</v>
      </c>
      <c r="K527" s="62" t="s">
        <v>59</v>
      </c>
      <c r="L527" s="62" t="s">
        <v>83</v>
      </c>
      <c r="M527" s="62" t="s">
        <v>47</v>
      </c>
      <c r="N527" s="5">
        <v>0</v>
      </c>
      <c r="O527" s="8">
        <v>0</v>
      </c>
      <c r="P527" s="69">
        <v>76000</v>
      </c>
      <c r="Q527" s="69">
        <v>142000</v>
      </c>
      <c r="R527" s="69">
        <v>109000</v>
      </c>
      <c r="S527" s="62" t="s">
        <v>542</v>
      </c>
      <c r="T527" s="8">
        <f t="shared" si="27"/>
        <v>19</v>
      </c>
      <c r="U527" s="8">
        <v>0</v>
      </c>
      <c r="V527" s="8">
        <v>0</v>
      </c>
      <c r="W527" s="8">
        <v>1</v>
      </c>
      <c r="X527" s="8">
        <v>1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1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62" t="s">
        <v>146</v>
      </c>
      <c r="AL527" s="62" t="s">
        <v>169</v>
      </c>
      <c r="AM527" s="62" t="s">
        <v>77</v>
      </c>
      <c r="AN527" s="5"/>
      <c r="AO527" s="7"/>
    </row>
    <row r="528" spans="1:41" ht="15.75" customHeight="1" x14ac:dyDescent="0.25">
      <c r="A528" s="4">
        <v>527</v>
      </c>
      <c r="B528" s="5" t="s">
        <v>224</v>
      </c>
      <c r="C528" s="58">
        <v>3.4</v>
      </c>
      <c r="D528" s="61" t="s">
        <v>865</v>
      </c>
      <c r="E528" s="72" t="s">
        <v>454</v>
      </c>
      <c r="F528" s="62" t="s">
        <v>339</v>
      </c>
      <c r="G528" s="8" t="s">
        <v>88</v>
      </c>
      <c r="H528" s="8">
        <v>1999</v>
      </c>
      <c r="I528" s="62" t="s">
        <v>44</v>
      </c>
      <c r="J528" s="62" t="s">
        <v>213</v>
      </c>
      <c r="K528" s="62" t="s">
        <v>111</v>
      </c>
      <c r="L528" s="62" t="s">
        <v>101</v>
      </c>
      <c r="M528" s="62" t="s">
        <v>47</v>
      </c>
      <c r="N528" s="5">
        <v>0</v>
      </c>
      <c r="O528" s="8">
        <v>0</v>
      </c>
      <c r="P528" s="69">
        <v>76000</v>
      </c>
      <c r="Q528" s="69">
        <v>142000</v>
      </c>
      <c r="R528" s="69">
        <v>109000</v>
      </c>
      <c r="S528" s="62" t="s">
        <v>61</v>
      </c>
      <c r="T528" s="8">
        <f t="shared" si="27"/>
        <v>24</v>
      </c>
      <c r="U528" s="8">
        <v>0</v>
      </c>
      <c r="V528" s="8">
        <v>0</v>
      </c>
      <c r="W528" s="8">
        <v>1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62" t="s">
        <v>146</v>
      </c>
      <c r="AL528" s="62" t="s">
        <v>50</v>
      </c>
      <c r="AM528" s="62" t="s">
        <v>51</v>
      </c>
      <c r="AN528" s="5"/>
      <c r="AO528" s="7"/>
    </row>
    <row r="529" spans="1:41" ht="15.75" customHeight="1" x14ac:dyDescent="0.25">
      <c r="A529" s="4">
        <v>528</v>
      </c>
      <c r="B529" s="5" t="s">
        <v>220</v>
      </c>
      <c r="C529" s="58">
        <v>4.4000000000000004</v>
      </c>
      <c r="D529" s="61" t="s">
        <v>863</v>
      </c>
      <c r="E529" s="72" t="s">
        <v>864</v>
      </c>
      <c r="F529" s="62" t="s">
        <v>864</v>
      </c>
      <c r="G529" s="8" t="s">
        <v>70</v>
      </c>
      <c r="H529" s="8">
        <v>1984</v>
      </c>
      <c r="I529" s="62" t="s">
        <v>44</v>
      </c>
      <c r="J529" s="62" t="s">
        <v>216</v>
      </c>
      <c r="K529" s="62" t="s">
        <v>111</v>
      </c>
      <c r="L529" s="62" t="s">
        <v>91</v>
      </c>
      <c r="M529" s="62" t="s">
        <v>47</v>
      </c>
      <c r="N529" s="5">
        <v>0</v>
      </c>
      <c r="O529" s="8">
        <v>0</v>
      </c>
      <c r="P529" s="69">
        <v>108000</v>
      </c>
      <c r="Q529" s="69">
        <v>171000</v>
      </c>
      <c r="R529" s="69">
        <v>139500</v>
      </c>
      <c r="S529" s="62" t="s">
        <v>138</v>
      </c>
      <c r="T529" s="8">
        <f t="shared" si="27"/>
        <v>39</v>
      </c>
      <c r="U529" s="8">
        <v>1</v>
      </c>
      <c r="V529" s="8">
        <v>0</v>
      </c>
      <c r="W529" s="8">
        <v>0</v>
      </c>
      <c r="X529" s="8">
        <v>0</v>
      </c>
      <c r="Y529" s="8">
        <v>1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1</v>
      </c>
      <c r="AG529" s="8">
        <v>1</v>
      </c>
      <c r="AH529" s="8">
        <v>0</v>
      </c>
      <c r="AI529" s="8">
        <v>0</v>
      </c>
      <c r="AJ529" s="8">
        <v>0</v>
      </c>
      <c r="AK529" s="62" t="s">
        <v>49</v>
      </c>
      <c r="AL529" s="62" t="s">
        <v>169</v>
      </c>
      <c r="AM529" s="62" t="s">
        <v>51</v>
      </c>
      <c r="AN529" s="5"/>
      <c r="AO529" s="7"/>
    </row>
    <row r="530" spans="1:41" ht="15.75" customHeight="1" x14ac:dyDescent="0.25">
      <c r="A530" s="4">
        <v>529</v>
      </c>
      <c r="B530" s="5" t="s">
        <v>866</v>
      </c>
      <c r="C530" s="58">
        <v>3.3</v>
      </c>
      <c r="D530" s="61" t="s">
        <v>268</v>
      </c>
      <c r="E530" s="72" t="s">
        <v>172</v>
      </c>
      <c r="F530" s="62" t="s">
        <v>269</v>
      </c>
      <c r="G530" s="8" t="s">
        <v>56</v>
      </c>
      <c r="H530" s="8">
        <v>1912</v>
      </c>
      <c r="I530" s="62" t="s">
        <v>44</v>
      </c>
      <c r="J530" s="62" t="s">
        <v>161</v>
      </c>
      <c r="K530" s="62" t="s">
        <v>162</v>
      </c>
      <c r="L530" s="62" t="s">
        <v>128</v>
      </c>
      <c r="M530" s="62" t="s">
        <v>270</v>
      </c>
      <c r="N530" s="5">
        <v>0</v>
      </c>
      <c r="O530" s="8">
        <v>0</v>
      </c>
      <c r="P530" s="69">
        <v>202000</v>
      </c>
      <c r="Q530" s="69">
        <v>306000</v>
      </c>
      <c r="R530" s="69">
        <v>254000</v>
      </c>
      <c r="S530" s="62" t="s">
        <v>176</v>
      </c>
      <c r="T530" s="8">
        <f t="shared" si="27"/>
        <v>111</v>
      </c>
      <c r="U530" s="8">
        <v>1</v>
      </c>
      <c r="V530" s="8">
        <v>0</v>
      </c>
      <c r="W530" s="8">
        <v>0</v>
      </c>
      <c r="X530" s="8">
        <v>0</v>
      </c>
      <c r="Y530" s="8">
        <v>0</v>
      </c>
      <c r="Z530" s="8">
        <v>1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62" t="s">
        <v>49</v>
      </c>
      <c r="AL530" s="62" t="s">
        <v>50</v>
      </c>
      <c r="AM530" s="62" t="s">
        <v>51</v>
      </c>
      <c r="AN530" s="5"/>
      <c r="AO530" s="7"/>
    </row>
    <row r="531" spans="1:41" ht="15.75" customHeight="1" x14ac:dyDescent="0.25">
      <c r="A531" s="4">
        <v>530</v>
      </c>
      <c r="B531" s="5" t="s">
        <v>505</v>
      </c>
      <c r="C531" s="58">
        <v>3.2</v>
      </c>
      <c r="D531" s="61" t="s">
        <v>1116</v>
      </c>
      <c r="E531" s="72" t="s">
        <v>79</v>
      </c>
      <c r="F531" s="62" t="s">
        <v>80</v>
      </c>
      <c r="G531" s="8" t="s">
        <v>70</v>
      </c>
      <c r="H531" s="8">
        <v>1975</v>
      </c>
      <c r="I531" s="62" t="s">
        <v>44</v>
      </c>
      <c r="J531" s="62" t="s">
        <v>216</v>
      </c>
      <c r="K531" s="62" t="s">
        <v>111</v>
      </c>
      <c r="L531" s="62" t="s">
        <v>83</v>
      </c>
      <c r="M531" s="62" t="s">
        <v>1117</v>
      </c>
      <c r="N531" s="5">
        <v>0</v>
      </c>
      <c r="O531" s="8">
        <v>0</v>
      </c>
      <c r="P531" s="69">
        <v>91000</v>
      </c>
      <c r="Q531" s="69">
        <v>159000</v>
      </c>
      <c r="R531" s="69">
        <v>125000</v>
      </c>
      <c r="S531" s="62" t="s">
        <v>85</v>
      </c>
      <c r="T531" s="8">
        <f t="shared" si="27"/>
        <v>48</v>
      </c>
      <c r="U531" s="8">
        <v>1</v>
      </c>
      <c r="V531" s="8">
        <v>0</v>
      </c>
      <c r="W531" s="8">
        <v>1</v>
      </c>
      <c r="X531" s="8">
        <v>1</v>
      </c>
      <c r="Y531" s="8">
        <v>1</v>
      </c>
      <c r="Z531" s="8">
        <v>0</v>
      </c>
      <c r="AA531" s="8">
        <v>0</v>
      </c>
      <c r="AB531" s="8">
        <v>1</v>
      </c>
      <c r="AC531" s="8">
        <v>0</v>
      </c>
      <c r="AD531" s="8">
        <v>1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62" t="s">
        <v>508</v>
      </c>
      <c r="AL531" s="62" t="s">
        <v>50</v>
      </c>
      <c r="AM531" s="62" t="s">
        <v>51</v>
      </c>
      <c r="AN531" s="5"/>
      <c r="AO531" s="7"/>
    </row>
    <row r="532" spans="1:41" ht="15.75" customHeight="1" x14ac:dyDescent="0.25">
      <c r="A532" s="4">
        <v>531</v>
      </c>
      <c r="B532" s="5" t="s">
        <v>1118</v>
      </c>
      <c r="C532" s="58">
        <v>3.8</v>
      </c>
      <c r="D532" s="61" t="s">
        <v>202</v>
      </c>
      <c r="E532" s="72" t="s">
        <v>134</v>
      </c>
      <c r="F532" s="62" t="s">
        <v>203</v>
      </c>
      <c r="G532" s="8" t="s">
        <v>56</v>
      </c>
      <c r="H532" s="8">
        <v>1996</v>
      </c>
      <c r="I532" s="62" t="s">
        <v>89</v>
      </c>
      <c r="J532" s="62" t="s">
        <v>136</v>
      </c>
      <c r="K532" s="62" t="s">
        <v>136</v>
      </c>
      <c r="L532" s="62" t="s">
        <v>128</v>
      </c>
      <c r="M532" s="62" t="s">
        <v>47</v>
      </c>
      <c r="N532" s="5">
        <v>0</v>
      </c>
      <c r="O532" s="8">
        <v>0</v>
      </c>
      <c r="P532" s="69">
        <v>80000</v>
      </c>
      <c r="Q532" s="69">
        <v>133000</v>
      </c>
      <c r="R532" s="69">
        <v>106500</v>
      </c>
      <c r="S532" s="62" t="s">
        <v>138</v>
      </c>
      <c r="T532" s="8">
        <f t="shared" si="27"/>
        <v>27</v>
      </c>
      <c r="U532" s="8">
        <v>1</v>
      </c>
      <c r="V532" s="8">
        <v>0</v>
      </c>
      <c r="W532" s="8">
        <v>0</v>
      </c>
      <c r="X532" s="8">
        <v>0</v>
      </c>
      <c r="Y532" s="8">
        <v>1</v>
      </c>
      <c r="Z532" s="8">
        <v>1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1</v>
      </c>
      <c r="AG532" s="8">
        <v>1</v>
      </c>
      <c r="AH532" s="8">
        <v>0</v>
      </c>
      <c r="AI532" s="8">
        <v>0</v>
      </c>
      <c r="AJ532" s="8">
        <v>0</v>
      </c>
      <c r="AK532" s="62" t="s">
        <v>49</v>
      </c>
      <c r="AL532" s="62" t="s">
        <v>169</v>
      </c>
      <c r="AM532" s="62" t="s">
        <v>51</v>
      </c>
      <c r="AN532" s="5"/>
      <c r="AO532" s="7"/>
    </row>
    <row r="533" spans="1:41" ht="15.75" customHeight="1" x14ac:dyDescent="0.25">
      <c r="A533" s="4">
        <v>532</v>
      </c>
      <c r="B533" s="5" t="s">
        <v>867</v>
      </c>
      <c r="C533" s="58">
        <v>2.9</v>
      </c>
      <c r="D533" s="61" t="s">
        <v>868</v>
      </c>
      <c r="E533" s="72" t="s">
        <v>554</v>
      </c>
      <c r="F533" s="62" t="s">
        <v>114</v>
      </c>
      <c r="G533" s="8" t="s">
        <v>88</v>
      </c>
      <c r="H533" s="8">
        <v>2012</v>
      </c>
      <c r="I533" s="62" t="s">
        <v>142</v>
      </c>
      <c r="J533" s="62" t="s">
        <v>136</v>
      </c>
      <c r="K533" s="62" t="s">
        <v>136</v>
      </c>
      <c r="L533" s="62" t="s">
        <v>83</v>
      </c>
      <c r="M533" s="62" t="s">
        <v>869</v>
      </c>
      <c r="N533" s="5">
        <v>0</v>
      </c>
      <c r="O533" s="8">
        <v>0</v>
      </c>
      <c r="P533" s="69">
        <v>49000</v>
      </c>
      <c r="Q533" s="69">
        <v>97000</v>
      </c>
      <c r="R533" s="69">
        <v>73000</v>
      </c>
      <c r="S533" s="62" t="s">
        <v>102</v>
      </c>
      <c r="T533" s="8">
        <f t="shared" si="27"/>
        <v>11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62" t="s">
        <v>107</v>
      </c>
      <c r="AL533" s="62" t="s">
        <v>50</v>
      </c>
      <c r="AM533" s="62" t="s">
        <v>108</v>
      </c>
      <c r="AN533" s="5"/>
      <c r="AO533" s="7"/>
    </row>
    <row r="534" spans="1:41" ht="15.75" customHeight="1" x14ac:dyDescent="0.25">
      <c r="A534" s="4">
        <v>533</v>
      </c>
      <c r="B534" s="5" t="s">
        <v>672</v>
      </c>
      <c r="C534" s="58">
        <v>2.7</v>
      </c>
      <c r="D534" s="61" t="s">
        <v>673</v>
      </c>
      <c r="E534" s="72" t="s">
        <v>454</v>
      </c>
      <c r="F534" s="62" t="s">
        <v>454</v>
      </c>
      <c r="G534" s="8" t="s">
        <v>88</v>
      </c>
      <c r="H534" s="8">
        <v>1961</v>
      </c>
      <c r="I534" s="62" t="s">
        <v>44</v>
      </c>
      <c r="J534" s="62" t="s">
        <v>136</v>
      </c>
      <c r="K534" s="62" t="s">
        <v>136</v>
      </c>
      <c r="L534" s="62" t="s">
        <v>101</v>
      </c>
      <c r="M534" s="62" t="s">
        <v>47</v>
      </c>
      <c r="N534" s="5">
        <v>0</v>
      </c>
      <c r="O534" s="8">
        <v>0</v>
      </c>
      <c r="P534" s="69">
        <v>49000</v>
      </c>
      <c r="Q534" s="69">
        <v>113000</v>
      </c>
      <c r="R534" s="69">
        <v>81000</v>
      </c>
      <c r="S534" s="62" t="s">
        <v>61</v>
      </c>
      <c r="T534" s="8">
        <f t="shared" si="27"/>
        <v>62</v>
      </c>
      <c r="U534" s="8">
        <v>0</v>
      </c>
      <c r="V534" s="8">
        <v>0</v>
      </c>
      <c r="W534" s="8">
        <v>0</v>
      </c>
      <c r="X534" s="8">
        <v>1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62" t="s">
        <v>107</v>
      </c>
      <c r="AL534" s="62" t="s">
        <v>50</v>
      </c>
      <c r="AM534" s="62" t="s">
        <v>108</v>
      </c>
      <c r="AN534" s="5"/>
      <c r="AO534" s="7"/>
    </row>
    <row r="535" spans="1:41" ht="15.75" customHeight="1" x14ac:dyDescent="0.25">
      <c r="A535" s="4">
        <v>534</v>
      </c>
      <c r="B535" s="5" t="s">
        <v>668</v>
      </c>
      <c r="C535" s="58">
        <v>3.6</v>
      </c>
      <c r="D535" s="61" t="s">
        <v>599</v>
      </c>
      <c r="E535" s="72" t="s">
        <v>669</v>
      </c>
      <c r="F535" s="62" t="s">
        <v>600</v>
      </c>
      <c r="G535" s="8" t="s">
        <v>70</v>
      </c>
      <c r="H535" s="8">
        <v>1935</v>
      </c>
      <c r="I535" s="62" t="s">
        <v>160</v>
      </c>
      <c r="J535" s="62" t="s">
        <v>58</v>
      </c>
      <c r="K535" s="62" t="s">
        <v>59</v>
      </c>
      <c r="L535" s="62" t="s">
        <v>66</v>
      </c>
      <c r="M535" s="62" t="s">
        <v>47</v>
      </c>
      <c r="N535" s="5">
        <v>1</v>
      </c>
      <c r="O535" s="8">
        <v>0</v>
      </c>
      <c r="P535" s="69">
        <v>43000</v>
      </c>
      <c r="Q535" s="69">
        <v>70000</v>
      </c>
      <c r="R535" s="69">
        <v>56500</v>
      </c>
      <c r="S535" s="62" t="s">
        <v>601</v>
      </c>
      <c r="T535" s="8">
        <f t="shared" si="27"/>
        <v>88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62" t="s">
        <v>107</v>
      </c>
      <c r="AL535" s="62" t="s">
        <v>50</v>
      </c>
      <c r="AM535" s="62" t="s">
        <v>77</v>
      </c>
      <c r="AN535" s="5"/>
      <c r="AO535" s="7"/>
    </row>
    <row r="536" spans="1:41" ht="15.75" customHeight="1" x14ac:dyDescent="0.25">
      <c r="A536" s="4">
        <v>535</v>
      </c>
      <c r="B536" s="5" t="s">
        <v>870</v>
      </c>
      <c r="C536" s="58">
        <v>3.1</v>
      </c>
      <c r="D536" s="61" t="s">
        <v>833</v>
      </c>
      <c r="E536" s="72" t="s">
        <v>871</v>
      </c>
      <c r="F536" s="62" t="s">
        <v>835</v>
      </c>
      <c r="G536" s="8" t="s">
        <v>120</v>
      </c>
      <c r="H536" s="8">
        <v>1875</v>
      </c>
      <c r="I536" s="62" t="s">
        <v>44</v>
      </c>
      <c r="J536" s="62" t="s">
        <v>499</v>
      </c>
      <c r="K536" s="62" t="s">
        <v>427</v>
      </c>
      <c r="L536" s="62" t="s">
        <v>128</v>
      </c>
      <c r="M536" s="62" t="s">
        <v>47</v>
      </c>
      <c r="N536" s="5">
        <v>0</v>
      </c>
      <c r="O536" s="8">
        <v>0</v>
      </c>
      <c r="P536" s="69">
        <v>65000</v>
      </c>
      <c r="Q536" s="69">
        <v>134000</v>
      </c>
      <c r="R536" s="69">
        <v>99500</v>
      </c>
      <c r="S536" s="62" t="s">
        <v>423</v>
      </c>
      <c r="T536" s="8">
        <f t="shared" si="27"/>
        <v>148</v>
      </c>
      <c r="U536" s="8">
        <v>0</v>
      </c>
      <c r="V536" s="8">
        <v>0</v>
      </c>
      <c r="W536" s="8">
        <v>0</v>
      </c>
      <c r="X536" s="8">
        <v>1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62" t="s">
        <v>107</v>
      </c>
      <c r="AL536" s="62" t="s">
        <v>50</v>
      </c>
      <c r="AM536" s="62" t="s">
        <v>77</v>
      </c>
      <c r="AN536" s="5"/>
      <c r="AO536" s="7"/>
    </row>
    <row r="537" spans="1:41" ht="15.75" customHeight="1" x14ac:dyDescent="0.25">
      <c r="A537" s="4">
        <v>536</v>
      </c>
      <c r="B537" s="5" t="s">
        <v>872</v>
      </c>
      <c r="C537" s="58">
        <v>3.3</v>
      </c>
      <c r="D537" s="61" t="s">
        <v>873</v>
      </c>
      <c r="E537" s="72" t="s">
        <v>874</v>
      </c>
      <c r="F537" s="62" t="s">
        <v>874</v>
      </c>
      <c r="G537" s="8" t="s">
        <v>43</v>
      </c>
      <c r="H537" s="8">
        <v>1989</v>
      </c>
      <c r="I537" s="62" t="s">
        <v>44</v>
      </c>
      <c r="J537" s="62" t="s">
        <v>161</v>
      </c>
      <c r="K537" s="62" t="s">
        <v>162</v>
      </c>
      <c r="L537" s="62" t="s">
        <v>74</v>
      </c>
      <c r="M537" s="62" t="s">
        <v>47</v>
      </c>
      <c r="N537" s="5">
        <v>0</v>
      </c>
      <c r="O537" s="8">
        <v>0</v>
      </c>
      <c r="P537" s="69">
        <v>32000</v>
      </c>
      <c r="Q537" s="69">
        <v>59000</v>
      </c>
      <c r="R537" s="69">
        <v>45500</v>
      </c>
      <c r="S537" s="62" t="s">
        <v>258</v>
      </c>
      <c r="T537" s="8">
        <f t="shared" si="27"/>
        <v>34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62" t="s">
        <v>132</v>
      </c>
      <c r="AL537" s="62" t="s">
        <v>50</v>
      </c>
      <c r="AM537" s="62" t="s">
        <v>77</v>
      </c>
      <c r="AN537" s="5"/>
      <c r="AO537" s="7"/>
    </row>
    <row r="538" spans="1:41" ht="15.75" customHeight="1" x14ac:dyDescent="0.25">
      <c r="A538" s="4">
        <v>537</v>
      </c>
      <c r="B538" s="5" t="s">
        <v>1119</v>
      </c>
      <c r="C538" s="58">
        <v>3.7</v>
      </c>
      <c r="D538" s="61" t="s">
        <v>192</v>
      </c>
      <c r="E538" s="72" t="s">
        <v>193</v>
      </c>
      <c r="F538" s="62" t="s">
        <v>193</v>
      </c>
      <c r="G538" s="8" t="s">
        <v>120</v>
      </c>
      <c r="H538" s="8">
        <v>1852</v>
      </c>
      <c r="I538" s="62" t="s">
        <v>89</v>
      </c>
      <c r="J538" s="62" t="s">
        <v>161</v>
      </c>
      <c r="K538" s="62" t="s">
        <v>162</v>
      </c>
      <c r="L538" s="62" t="s">
        <v>194</v>
      </c>
      <c r="M538" s="62" t="s">
        <v>47</v>
      </c>
      <c r="N538" s="5">
        <v>0</v>
      </c>
      <c r="O538" s="8">
        <v>0</v>
      </c>
      <c r="P538" s="69">
        <v>39000</v>
      </c>
      <c r="Q538" s="69">
        <v>69000</v>
      </c>
      <c r="R538" s="69">
        <v>54000</v>
      </c>
      <c r="S538" s="62" t="s">
        <v>138</v>
      </c>
      <c r="T538" s="8">
        <f t="shared" si="27"/>
        <v>171</v>
      </c>
      <c r="U538" s="8">
        <v>0</v>
      </c>
      <c r="V538" s="8">
        <v>0</v>
      </c>
      <c r="W538" s="8">
        <v>0</v>
      </c>
      <c r="X538" s="8">
        <v>0</v>
      </c>
      <c r="Y538" s="8">
        <v>1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62" t="s">
        <v>132</v>
      </c>
      <c r="AL538" s="62" t="s">
        <v>50</v>
      </c>
      <c r="AM538" s="62" t="s">
        <v>77</v>
      </c>
      <c r="AN538" s="5"/>
      <c r="AO538" s="7"/>
    </row>
    <row r="539" spans="1:41" ht="15.75" customHeight="1" x14ac:dyDescent="0.25">
      <c r="A539" s="4">
        <v>538</v>
      </c>
      <c r="B539" s="5" t="s">
        <v>674</v>
      </c>
      <c r="C539" s="58">
        <v>4.5</v>
      </c>
      <c r="D539" s="61" t="s">
        <v>875</v>
      </c>
      <c r="E539" s="72" t="s">
        <v>324</v>
      </c>
      <c r="F539" s="62" t="s">
        <v>324</v>
      </c>
      <c r="G539" s="8" t="s">
        <v>81</v>
      </c>
      <c r="H539" s="8">
        <v>1996</v>
      </c>
      <c r="I539" s="62" t="s">
        <v>44</v>
      </c>
      <c r="J539" s="62" t="s">
        <v>100</v>
      </c>
      <c r="K539" s="62" t="s">
        <v>65</v>
      </c>
      <c r="L539" s="62" t="s">
        <v>101</v>
      </c>
      <c r="M539" s="62" t="s">
        <v>47</v>
      </c>
      <c r="N539" s="5">
        <v>0</v>
      </c>
      <c r="O539" s="8">
        <v>0</v>
      </c>
      <c r="P539" s="69">
        <v>87000</v>
      </c>
      <c r="Q539" s="69">
        <v>158000</v>
      </c>
      <c r="R539" s="69">
        <v>122500</v>
      </c>
      <c r="S539" s="62" t="s">
        <v>326</v>
      </c>
      <c r="T539" s="8">
        <f t="shared" si="27"/>
        <v>27</v>
      </c>
      <c r="U539" s="8">
        <v>1</v>
      </c>
      <c r="V539" s="8">
        <v>1</v>
      </c>
      <c r="W539" s="8">
        <v>1</v>
      </c>
      <c r="X539" s="8">
        <v>0</v>
      </c>
      <c r="Y539" s="8">
        <v>1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1</v>
      </c>
      <c r="AF539" s="8">
        <v>0</v>
      </c>
      <c r="AG539" s="8">
        <v>0</v>
      </c>
      <c r="AH539" s="8">
        <v>0</v>
      </c>
      <c r="AI539" s="8">
        <v>1</v>
      </c>
      <c r="AJ539" s="8">
        <v>0</v>
      </c>
      <c r="AK539" s="62" t="s">
        <v>146</v>
      </c>
      <c r="AL539" s="62" t="s">
        <v>169</v>
      </c>
      <c r="AM539" s="62" t="s">
        <v>77</v>
      </c>
      <c r="AN539" s="5"/>
      <c r="AO539" s="7"/>
    </row>
    <row r="540" spans="1:41" ht="15.75" customHeight="1" x14ac:dyDescent="0.25">
      <c r="A540" s="4">
        <v>539</v>
      </c>
      <c r="B540" s="5" t="s">
        <v>805</v>
      </c>
      <c r="C540" s="58">
        <v>3</v>
      </c>
      <c r="D540" s="61" t="s">
        <v>1120</v>
      </c>
      <c r="E540" s="72" t="s">
        <v>514</v>
      </c>
      <c r="F540" s="62" t="s">
        <v>514</v>
      </c>
      <c r="G540" s="8" t="s">
        <v>70</v>
      </c>
      <c r="H540" s="8">
        <v>1977</v>
      </c>
      <c r="I540" s="62" t="s">
        <v>142</v>
      </c>
      <c r="J540" s="62" t="s">
        <v>155</v>
      </c>
      <c r="K540" s="62" t="s">
        <v>111</v>
      </c>
      <c r="L540" s="62" t="s">
        <v>66</v>
      </c>
      <c r="M540" s="62" t="s">
        <v>1121</v>
      </c>
      <c r="N540" s="5">
        <v>0</v>
      </c>
      <c r="O540" s="8">
        <v>0</v>
      </c>
      <c r="P540" s="69">
        <v>27000</v>
      </c>
      <c r="Q540" s="69">
        <v>48000</v>
      </c>
      <c r="R540" s="69">
        <v>37500</v>
      </c>
      <c r="S540" s="62" t="s">
        <v>67</v>
      </c>
      <c r="T540" s="8">
        <f t="shared" si="27"/>
        <v>46</v>
      </c>
      <c r="U540" s="8">
        <v>0</v>
      </c>
      <c r="V540" s="8">
        <v>0</v>
      </c>
      <c r="W540" s="8">
        <v>0</v>
      </c>
      <c r="X540" s="8">
        <v>1</v>
      </c>
      <c r="Y540" s="8">
        <v>1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62" t="s">
        <v>132</v>
      </c>
      <c r="AL540" s="62" t="s">
        <v>50</v>
      </c>
      <c r="AM540" s="62" t="s">
        <v>51</v>
      </c>
      <c r="AN540" s="5"/>
      <c r="AO540" s="7"/>
    </row>
    <row r="541" spans="1:41" ht="15.75" customHeight="1" x14ac:dyDescent="0.25">
      <c r="A541" s="4">
        <v>540</v>
      </c>
      <c r="B541" s="5" t="s">
        <v>1122</v>
      </c>
      <c r="C541" s="58">
        <v>3.8</v>
      </c>
      <c r="D541" s="61" t="s">
        <v>685</v>
      </c>
      <c r="E541" s="72" t="s">
        <v>79</v>
      </c>
      <c r="F541" s="62" t="s">
        <v>80</v>
      </c>
      <c r="G541" s="8" t="s">
        <v>70</v>
      </c>
      <c r="H541" s="8">
        <v>2002</v>
      </c>
      <c r="I541" s="62" t="s">
        <v>44</v>
      </c>
      <c r="J541" s="62" t="s">
        <v>517</v>
      </c>
      <c r="K541" s="62" t="s">
        <v>518</v>
      </c>
      <c r="L541" s="62" t="s">
        <v>60</v>
      </c>
      <c r="M541" s="62" t="s">
        <v>686</v>
      </c>
      <c r="N541" s="5">
        <v>0</v>
      </c>
      <c r="O541" s="8">
        <v>0</v>
      </c>
      <c r="P541" s="69">
        <v>36000</v>
      </c>
      <c r="Q541" s="69">
        <v>71000</v>
      </c>
      <c r="R541" s="69">
        <v>53500</v>
      </c>
      <c r="S541" s="62" t="s">
        <v>85</v>
      </c>
      <c r="T541" s="8">
        <f t="shared" si="27"/>
        <v>21</v>
      </c>
      <c r="U541" s="8">
        <v>1</v>
      </c>
      <c r="V541" s="8">
        <v>0</v>
      </c>
      <c r="W541" s="8">
        <v>0</v>
      </c>
      <c r="X541" s="8">
        <v>1</v>
      </c>
      <c r="Y541" s="8">
        <v>1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1</v>
      </c>
      <c r="AH541" s="8">
        <v>0</v>
      </c>
      <c r="AI541" s="8">
        <v>0</v>
      </c>
      <c r="AJ541" s="8">
        <v>1</v>
      </c>
      <c r="AK541" s="62" t="s">
        <v>132</v>
      </c>
      <c r="AL541" s="62" t="s">
        <v>50</v>
      </c>
      <c r="AM541" s="62" t="s">
        <v>51</v>
      </c>
      <c r="AN541" s="5"/>
      <c r="AO541" s="7"/>
    </row>
    <row r="542" spans="1:41" ht="15.75" customHeight="1" x14ac:dyDescent="0.25">
      <c r="A542" s="4">
        <v>541</v>
      </c>
      <c r="B542" s="5" t="s">
        <v>876</v>
      </c>
      <c r="C542" s="58">
        <v>3.9</v>
      </c>
      <c r="D542" s="61" t="s">
        <v>380</v>
      </c>
      <c r="E542" s="72" t="s">
        <v>172</v>
      </c>
      <c r="F542" s="62" t="s">
        <v>172</v>
      </c>
      <c r="G542" s="8" t="s">
        <v>120</v>
      </c>
      <c r="H542" s="8">
        <v>1968</v>
      </c>
      <c r="I542" s="62" t="s">
        <v>89</v>
      </c>
      <c r="J542" s="62" t="s">
        <v>381</v>
      </c>
      <c r="K542" s="62" t="s">
        <v>96</v>
      </c>
      <c r="L542" s="62" t="s">
        <v>91</v>
      </c>
      <c r="M542" s="62" t="s">
        <v>47</v>
      </c>
      <c r="N542" s="5">
        <v>0</v>
      </c>
      <c r="O542" s="8">
        <v>0</v>
      </c>
      <c r="P542" s="69">
        <v>107000</v>
      </c>
      <c r="Q542" s="69">
        <v>173000</v>
      </c>
      <c r="R542" s="69">
        <v>140000</v>
      </c>
      <c r="S542" s="62" t="s">
        <v>176</v>
      </c>
      <c r="T542" s="8">
        <f t="shared" si="27"/>
        <v>55</v>
      </c>
      <c r="U542" s="8">
        <v>1</v>
      </c>
      <c r="V542" s="8">
        <v>0</v>
      </c>
      <c r="W542" s="8">
        <v>0</v>
      </c>
      <c r="X542" s="8">
        <v>1</v>
      </c>
      <c r="Y542" s="8">
        <v>1</v>
      </c>
      <c r="Z542" s="8">
        <v>1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62" t="s">
        <v>49</v>
      </c>
      <c r="AL542" s="62" t="s">
        <v>169</v>
      </c>
      <c r="AM542" s="62" t="s">
        <v>77</v>
      </c>
      <c r="AN542" s="5"/>
      <c r="AO542" s="7"/>
    </row>
    <row r="543" spans="1:41" ht="15.75" customHeight="1" x14ac:dyDescent="0.25">
      <c r="A543" s="4">
        <v>542</v>
      </c>
      <c r="B543" s="5" t="s">
        <v>877</v>
      </c>
      <c r="C543" s="58">
        <v>3.2</v>
      </c>
      <c r="D543" s="61" t="s">
        <v>394</v>
      </c>
      <c r="E543" s="72" t="s">
        <v>878</v>
      </c>
      <c r="F543" s="62" t="s">
        <v>396</v>
      </c>
      <c r="G543" s="8" t="s">
        <v>120</v>
      </c>
      <c r="H543" s="8">
        <v>1958</v>
      </c>
      <c r="I543" s="62" t="s">
        <v>160</v>
      </c>
      <c r="J543" s="62" t="s">
        <v>397</v>
      </c>
      <c r="K543" s="62" t="s">
        <v>71</v>
      </c>
      <c r="L543" s="62" t="s">
        <v>91</v>
      </c>
      <c r="M543" s="62" t="s">
        <v>398</v>
      </c>
      <c r="N543" s="5">
        <v>0</v>
      </c>
      <c r="O543" s="8">
        <v>0</v>
      </c>
      <c r="P543" s="69">
        <v>56000</v>
      </c>
      <c r="Q543" s="69">
        <v>99000</v>
      </c>
      <c r="R543" s="69">
        <v>77500</v>
      </c>
      <c r="S543" s="62" t="s">
        <v>122</v>
      </c>
      <c r="T543" s="8">
        <f t="shared" si="27"/>
        <v>65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62" t="s">
        <v>49</v>
      </c>
      <c r="AL543" s="62" t="s">
        <v>169</v>
      </c>
      <c r="AM543" s="62" t="s">
        <v>108</v>
      </c>
      <c r="AN543" s="5"/>
      <c r="AO543" s="7"/>
    </row>
    <row r="544" spans="1:41" ht="15.75" customHeight="1" x14ac:dyDescent="0.25">
      <c r="A544" s="4">
        <v>543</v>
      </c>
      <c r="B544" s="5" t="s">
        <v>879</v>
      </c>
      <c r="C544" s="58">
        <v>3.3</v>
      </c>
      <c r="D544" s="61" t="s">
        <v>880</v>
      </c>
      <c r="E544" s="72" t="s">
        <v>134</v>
      </c>
      <c r="F544" s="62" t="s">
        <v>134</v>
      </c>
      <c r="G544" s="8">
        <v>500</v>
      </c>
      <c r="H544" s="8">
        <v>1976</v>
      </c>
      <c r="I544" s="62" t="s">
        <v>44</v>
      </c>
      <c r="J544" s="62" t="s">
        <v>881</v>
      </c>
      <c r="K544" s="62" t="s">
        <v>882</v>
      </c>
      <c r="L544" s="62" t="s">
        <v>83</v>
      </c>
      <c r="M544" s="62" t="s">
        <v>47</v>
      </c>
      <c r="N544" s="5">
        <v>1</v>
      </c>
      <c r="O544" s="8">
        <v>1</v>
      </c>
      <c r="P544" s="69">
        <v>52000</v>
      </c>
      <c r="Q544" s="69">
        <v>58000</v>
      </c>
      <c r="R544" s="69">
        <v>55000</v>
      </c>
      <c r="S544" s="62" t="s">
        <v>138</v>
      </c>
      <c r="T544" s="8">
        <f t="shared" si="27"/>
        <v>47</v>
      </c>
      <c r="U544" s="8">
        <v>0</v>
      </c>
      <c r="V544" s="8">
        <v>0</v>
      </c>
      <c r="W544" s="8">
        <v>0</v>
      </c>
      <c r="X544" s="8">
        <v>1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62" t="s">
        <v>107</v>
      </c>
      <c r="AL544" s="62" t="s">
        <v>50</v>
      </c>
      <c r="AM544" s="62" t="s">
        <v>77</v>
      </c>
      <c r="AN544" s="5"/>
      <c r="AO544" s="7"/>
    </row>
    <row r="545" spans="1:41" ht="15.75" customHeight="1" x14ac:dyDescent="0.25">
      <c r="A545" s="4">
        <v>544</v>
      </c>
      <c r="B545" s="5" t="s">
        <v>883</v>
      </c>
      <c r="C545" s="58">
        <v>3.1</v>
      </c>
      <c r="D545" s="61" t="s">
        <v>833</v>
      </c>
      <c r="E545" s="72" t="s">
        <v>871</v>
      </c>
      <c r="F545" s="62" t="s">
        <v>835</v>
      </c>
      <c r="G545" s="8" t="s">
        <v>120</v>
      </c>
      <c r="H545" s="8">
        <v>1875</v>
      </c>
      <c r="I545" s="62" t="s">
        <v>44</v>
      </c>
      <c r="J545" s="62" t="s">
        <v>499</v>
      </c>
      <c r="K545" s="62" t="s">
        <v>427</v>
      </c>
      <c r="L545" s="62" t="s">
        <v>128</v>
      </c>
      <c r="M545" s="62" t="s">
        <v>47</v>
      </c>
      <c r="N545" s="5">
        <v>0</v>
      </c>
      <c r="O545" s="8">
        <v>0</v>
      </c>
      <c r="P545" s="69">
        <v>80000</v>
      </c>
      <c r="Q545" s="69">
        <v>155000</v>
      </c>
      <c r="R545" s="69">
        <v>117500</v>
      </c>
      <c r="S545" s="62" t="s">
        <v>423</v>
      </c>
      <c r="T545" s="8">
        <f t="shared" si="27"/>
        <v>148</v>
      </c>
      <c r="U545" s="8">
        <v>0</v>
      </c>
      <c r="V545" s="8">
        <v>0</v>
      </c>
      <c r="W545" s="8">
        <v>0</v>
      </c>
      <c r="X545" s="8">
        <v>1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62" t="s">
        <v>107</v>
      </c>
      <c r="AL545" s="62" t="s">
        <v>169</v>
      </c>
      <c r="AM545" s="62" t="s">
        <v>51</v>
      </c>
      <c r="AN545" s="5"/>
      <c r="AO545" s="7"/>
    </row>
    <row r="546" spans="1:41" ht="15.75" customHeight="1" x14ac:dyDescent="0.25">
      <c r="A546" s="4">
        <v>545</v>
      </c>
      <c r="B546" s="5" t="s">
        <v>884</v>
      </c>
      <c r="C546" s="58">
        <v>2.4</v>
      </c>
      <c r="D546" s="61" t="s">
        <v>885</v>
      </c>
      <c r="E546" s="72" t="s">
        <v>98</v>
      </c>
      <c r="F546" s="62" t="s">
        <v>335</v>
      </c>
      <c r="G546" s="8" t="s">
        <v>43</v>
      </c>
      <c r="H546" s="8">
        <v>2006</v>
      </c>
      <c r="I546" s="62" t="s">
        <v>44</v>
      </c>
      <c r="J546" s="62" t="s">
        <v>136</v>
      </c>
      <c r="K546" s="62" t="s">
        <v>136</v>
      </c>
      <c r="L546" s="62" t="s">
        <v>46</v>
      </c>
      <c r="M546" s="62" t="s">
        <v>47</v>
      </c>
      <c r="N546" s="5">
        <v>0</v>
      </c>
      <c r="O546" s="8">
        <v>0</v>
      </c>
      <c r="P546" s="69">
        <v>43000</v>
      </c>
      <c r="Q546" s="69">
        <v>98000</v>
      </c>
      <c r="R546" s="69">
        <v>70500</v>
      </c>
      <c r="S546" s="62" t="s">
        <v>102</v>
      </c>
      <c r="T546" s="8">
        <f t="shared" si="27"/>
        <v>17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62" t="s">
        <v>107</v>
      </c>
      <c r="AL546" s="62" t="s">
        <v>50</v>
      </c>
      <c r="AM546" s="62" t="s">
        <v>51</v>
      </c>
      <c r="AN546" s="5"/>
      <c r="AO546" s="7"/>
    </row>
    <row r="547" spans="1:41" ht="15.75" customHeight="1" x14ac:dyDescent="0.25">
      <c r="A547" s="4">
        <v>546</v>
      </c>
      <c r="B547" s="5" t="s">
        <v>888</v>
      </c>
      <c r="C547" s="58">
        <v>2.9</v>
      </c>
      <c r="D547" s="61" t="s">
        <v>889</v>
      </c>
      <c r="E547" s="72" t="s">
        <v>890</v>
      </c>
      <c r="F547" s="62" t="s">
        <v>891</v>
      </c>
      <c r="G547" s="8" t="s">
        <v>70</v>
      </c>
      <c r="H547" s="8">
        <v>2015</v>
      </c>
      <c r="I547" s="62" t="s">
        <v>44</v>
      </c>
      <c r="J547" s="62" t="s">
        <v>136</v>
      </c>
      <c r="K547" s="62" t="s">
        <v>136</v>
      </c>
      <c r="L547" s="62" t="s">
        <v>83</v>
      </c>
      <c r="M547" s="62" t="s">
        <v>47</v>
      </c>
      <c r="N547" s="5">
        <v>0</v>
      </c>
      <c r="O547" s="8">
        <v>0</v>
      </c>
      <c r="P547" s="69">
        <v>44000</v>
      </c>
      <c r="Q547" s="69">
        <v>96000</v>
      </c>
      <c r="R547" s="69">
        <v>70000</v>
      </c>
      <c r="S547" s="62" t="s">
        <v>85</v>
      </c>
      <c r="T547" s="8">
        <f t="shared" si="27"/>
        <v>8</v>
      </c>
      <c r="U547" s="8">
        <v>0</v>
      </c>
      <c r="V547" s="8">
        <v>0</v>
      </c>
      <c r="W547" s="8">
        <v>0</v>
      </c>
      <c r="X547" s="8">
        <v>1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62" t="s">
        <v>107</v>
      </c>
      <c r="AL547" s="62" t="s">
        <v>50</v>
      </c>
      <c r="AM547" s="62" t="s">
        <v>77</v>
      </c>
      <c r="AN547" s="5"/>
      <c r="AO547" s="7"/>
    </row>
    <row r="548" spans="1:41" ht="15.75" customHeight="1" x14ac:dyDescent="0.25">
      <c r="A548" s="4">
        <v>547</v>
      </c>
      <c r="B548" s="5" t="s">
        <v>886</v>
      </c>
      <c r="C548" s="58">
        <v>4.8</v>
      </c>
      <c r="D548" s="61" t="s">
        <v>887</v>
      </c>
      <c r="E548" s="72" t="s">
        <v>98</v>
      </c>
      <c r="F548" s="62" t="s">
        <v>114</v>
      </c>
      <c r="G548" s="8" t="s">
        <v>81</v>
      </c>
      <c r="H548" s="8">
        <v>2011</v>
      </c>
      <c r="I548" s="62" t="s">
        <v>44</v>
      </c>
      <c r="J548" s="62" t="s">
        <v>216</v>
      </c>
      <c r="K548" s="62" t="s">
        <v>111</v>
      </c>
      <c r="L548" s="62" t="s">
        <v>101</v>
      </c>
      <c r="M548" s="62" t="s">
        <v>47</v>
      </c>
      <c r="N548" s="5">
        <v>0</v>
      </c>
      <c r="O548" s="8">
        <v>0</v>
      </c>
      <c r="P548" s="69">
        <v>45000</v>
      </c>
      <c r="Q548" s="69">
        <v>78000</v>
      </c>
      <c r="R548" s="69">
        <v>61500</v>
      </c>
      <c r="S548" s="62" t="s">
        <v>102</v>
      </c>
      <c r="T548" s="8">
        <f t="shared" si="27"/>
        <v>12</v>
      </c>
      <c r="U548" s="8">
        <v>0</v>
      </c>
      <c r="V548" s="8">
        <v>0</v>
      </c>
      <c r="W548" s="8">
        <v>0</v>
      </c>
      <c r="X548" s="8">
        <v>1</v>
      </c>
      <c r="Y548" s="8">
        <v>1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1</v>
      </c>
      <c r="AG548" s="8">
        <v>0</v>
      </c>
      <c r="AH548" s="8">
        <v>0</v>
      </c>
      <c r="AI548" s="8">
        <v>0</v>
      </c>
      <c r="AJ548" s="8">
        <v>0</v>
      </c>
      <c r="AK548" s="62" t="s">
        <v>486</v>
      </c>
      <c r="AL548" s="62" t="s">
        <v>50</v>
      </c>
      <c r="AM548" s="62" t="s">
        <v>77</v>
      </c>
      <c r="AN548" s="5"/>
      <c r="AO548" s="7"/>
    </row>
    <row r="549" spans="1:41" ht="15.75" customHeight="1" x14ac:dyDescent="0.25">
      <c r="A549" s="4">
        <v>548</v>
      </c>
      <c r="B549" s="5" t="s">
        <v>892</v>
      </c>
      <c r="C549" s="58">
        <v>2.9</v>
      </c>
      <c r="D549" s="61" t="s">
        <v>889</v>
      </c>
      <c r="E549" s="72" t="s">
        <v>893</v>
      </c>
      <c r="F549" s="62" t="s">
        <v>891</v>
      </c>
      <c r="G549" s="8" t="s">
        <v>70</v>
      </c>
      <c r="H549" s="8">
        <v>2015</v>
      </c>
      <c r="I549" s="62" t="s">
        <v>44</v>
      </c>
      <c r="J549" s="62" t="s">
        <v>136</v>
      </c>
      <c r="K549" s="62" t="s">
        <v>136</v>
      </c>
      <c r="L549" s="62" t="s">
        <v>83</v>
      </c>
      <c r="M549" s="62" t="s">
        <v>47</v>
      </c>
      <c r="N549" s="5">
        <v>0</v>
      </c>
      <c r="O549" s="8">
        <v>0</v>
      </c>
      <c r="P549" s="69">
        <v>50000</v>
      </c>
      <c r="Q549" s="69">
        <v>110000</v>
      </c>
      <c r="R549" s="69">
        <v>80000</v>
      </c>
      <c r="S549" s="62" t="s">
        <v>310</v>
      </c>
      <c r="T549" s="8">
        <f t="shared" si="27"/>
        <v>8</v>
      </c>
      <c r="U549" s="8">
        <v>0</v>
      </c>
      <c r="V549" s="8">
        <v>0</v>
      </c>
      <c r="W549" s="8">
        <v>0</v>
      </c>
      <c r="X549" s="8">
        <v>1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62" t="s">
        <v>107</v>
      </c>
      <c r="AL549" s="62" t="s">
        <v>169</v>
      </c>
      <c r="AM549" s="62" t="s">
        <v>77</v>
      </c>
      <c r="AN549" s="5"/>
      <c r="AO549" s="7"/>
    </row>
    <row r="550" spans="1:41" ht="15.75" customHeight="1" x14ac:dyDescent="0.25">
      <c r="A550" s="4">
        <v>549</v>
      </c>
      <c r="B550" s="5" t="s">
        <v>39</v>
      </c>
      <c r="C550" s="58">
        <v>4.7</v>
      </c>
      <c r="D550" s="61" t="s">
        <v>308</v>
      </c>
      <c r="E550" s="72" t="s">
        <v>309</v>
      </c>
      <c r="F550" s="62" t="s">
        <v>309</v>
      </c>
      <c r="G550" s="8" t="s">
        <v>81</v>
      </c>
      <c r="H550" s="8">
        <v>2003</v>
      </c>
      <c r="I550" s="62" t="s">
        <v>44</v>
      </c>
      <c r="J550" s="62" t="s">
        <v>216</v>
      </c>
      <c r="K550" s="62" t="s">
        <v>111</v>
      </c>
      <c r="L550" s="62" t="s">
        <v>101</v>
      </c>
      <c r="M550" s="62" t="s">
        <v>47</v>
      </c>
      <c r="N550" s="5">
        <v>0</v>
      </c>
      <c r="O550" s="8">
        <v>0</v>
      </c>
      <c r="P550" s="69">
        <v>60000</v>
      </c>
      <c r="Q550" s="69">
        <v>99000</v>
      </c>
      <c r="R550" s="69">
        <v>79500</v>
      </c>
      <c r="S550" s="62" t="s">
        <v>310</v>
      </c>
      <c r="T550" s="8">
        <f t="shared" si="27"/>
        <v>20</v>
      </c>
      <c r="U550" s="8">
        <v>1</v>
      </c>
      <c r="V550" s="8">
        <v>0</v>
      </c>
      <c r="W550" s="8">
        <v>0</v>
      </c>
      <c r="X550" s="8">
        <v>1</v>
      </c>
      <c r="Y550" s="8">
        <v>1</v>
      </c>
      <c r="Z550" s="8">
        <v>0</v>
      </c>
      <c r="AA550" s="8">
        <v>1</v>
      </c>
      <c r="AB550" s="8">
        <v>1</v>
      </c>
      <c r="AC550" s="8">
        <v>1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62" t="s">
        <v>49</v>
      </c>
      <c r="AL550" s="62" t="s">
        <v>50</v>
      </c>
      <c r="AM550" s="62" t="s">
        <v>77</v>
      </c>
      <c r="AN550" s="5"/>
      <c r="AO550" s="7"/>
    </row>
    <row r="551" spans="1:41" ht="15.75" customHeight="1" x14ac:dyDescent="0.25">
      <c r="A551" s="4">
        <v>550</v>
      </c>
      <c r="B551" s="5" t="s">
        <v>1123</v>
      </c>
      <c r="C551" s="58">
        <v>4.7</v>
      </c>
      <c r="D551" s="61" t="s">
        <v>1124</v>
      </c>
      <c r="E551" s="72" t="s">
        <v>153</v>
      </c>
      <c r="F551" s="62" t="s">
        <v>154</v>
      </c>
      <c r="G551" s="8" t="s">
        <v>43</v>
      </c>
      <c r="H551" s="8">
        <v>2014</v>
      </c>
      <c r="I551" s="62" t="s">
        <v>44</v>
      </c>
      <c r="J551" s="62" t="s">
        <v>216</v>
      </c>
      <c r="K551" s="62" t="s">
        <v>111</v>
      </c>
      <c r="L551" s="62" t="s">
        <v>66</v>
      </c>
      <c r="M551" s="62" t="s">
        <v>47</v>
      </c>
      <c r="N551" s="5">
        <v>0</v>
      </c>
      <c r="O551" s="8">
        <v>0</v>
      </c>
      <c r="P551" s="69">
        <v>130000</v>
      </c>
      <c r="Q551" s="69">
        <v>206000</v>
      </c>
      <c r="R551" s="69">
        <v>168000</v>
      </c>
      <c r="S551" s="62" t="s">
        <v>102</v>
      </c>
      <c r="T551" s="8">
        <f t="shared" si="27"/>
        <v>9</v>
      </c>
      <c r="U551" s="8">
        <v>1</v>
      </c>
      <c r="V551" s="8">
        <v>0</v>
      </c>
      <c r="W551" s="8">
        <v>0</v>
      </c>
      <c r="X551" s="8">
        <v>1</v>
      </c>
      <c r="Y551" s="8">
        <v>1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1</v>
      </c>
      <c r="AG551" s="8">
        <v>0</v>
      </c>
      <c r="AH551" s="8">
        <v>0</v>
      </c>
      <c r="AI551" s="8">
        <v>0</v>
      </c>
      <c r="AJ551" s="8">
        <v>0</v>
      </c>
      <c r="AK551" s="62" t="s">
        <v>49</v>
      </c>
      <c r="AL551" s="62" t="s">
        <v>50</v>
      </c>
      <c r="AM551" s="62" t="s">
        <v>77</v>
      </c>
      <c r="AN551" s="5"/>
      <c r="AO551" s="7"/>
    </row>
    <row r="552" spans="1:41" ht="15.75" customHeight="1" x14ac:dyDescent="0.25">
      <c r="A552" s="4">
        <v>551</v>
      </c>
      <c r="B552" s="5" t="s">
        <v>894</v>
      </c>
      <c r="C552" s="58">
        <v>3.4</v>
      </c>
      <c r="D552" s="61" t="s">
        <v>895</v>
      </c>
      <c r="E552" s="72" t="s">
        <v>896</v>
      </c>
      <c r="F552" s="62" t="s">
        <v>896</v>
      </c>
      <c r="G552" s="8" t="s">
        <v>70</v>
      </c>
      <c r="H552" s="8">
        <v>1988</v>
      </c>
      <c r="I552" s="62" t="s">
        <v>44</v>
      </c>
      <c r="J552" s="62" t="s">
        <v>161</v>
      </c>
      <c r="K552" s="62" t="s">
        <v>162</v>
      </c>
      <c r="L552" s="62" t="s">
        <v>66</v>
      </c>
      <c r="M552" s="62" t="s">
        <v>47</v>
      </c>
      <c r="N552" s="5">
        <v>0</v>
      </c>
      <c r="O552" s="8">
        <v>0</v>
      </c>
      <c r="P552" s="69">
        <v>61000</v>
      </c>
      <c r="Q552" s="69">
        <v>119000</v>
      </c>
      <c r="R552" s="69">
        <v>90000</v>
      </c>
      <c r="S552" s="62" t="s">
        <v>138</v>
      </c>
      <c r="T552" s="8">
        <f t="shared" si="27"/>
        <v>35</v>
      </c>
      <c r="U552" s="8">
        <v>0</v>
      </c>
      <c r="V552" s="8">
        <v>1</v>
      </c>
      <c r="W552" s="8">
        <v>0</v>
      </c>
      <c r="X552" s="8">
        <v>1</v>
      </c>
      <c r="Y552" s="8">
        <v>1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1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62" t="s">
        <v>146</v>
      </c>
      <c r="AL552" s="62" t="s">
        <v>50</v>
      </c>
      <c r="AM552" s="62" t="s">
        <v>77</v>
      </c>
      <c r="AN552" s="5"/>
      <c r="AO552" s="7"/>
    </row>
    <row r="553" spans="1:41" ht="15.75" customHeight="1" x14ac:dyDescent="0.25">
      <c r="A553" s="4">
        <v>552</v>
      </c>
      <c r="B553" s="5" t="s">
        <v>897</v>
      </c>
      <c r="C553" s="58">
        <v>0</v>
      </c>
      <c r="D553" s="61" t="s">
        <v>898</v>
      </c>
      <c r="E553" s="72" t="s">
        <v>134</v>
      </c>
      <c r="F553" s="62" t="s">
        <v>899</v>
      </c>
      <c r="G553" s="8">
        <v>500</v>
      </c>
      <c r="H553" s="8" t="s">
        <v>47</v>
      </c>
      <c r="I553" s="62" t="s">
        <v>44</v>
      </c>
      <c r="J553" s="62" t="s">
        <v>47</v>
      </c>
      <c r="K553" s="62" t="s">
        <v>47</v>
      </c>
      <c r="L553" s="62" t="s">
        <v>83</v>
      </c>
      <c r="M553" s="62" t="s">
        <v>47</v>
      </c>
      <c r="N553" s="5">
        <v>0</v>
      </c>
      <c r="O553" s="8">
        <v>1</v>
      </c>
      <c r="P553" s="69">
        <v>100000</v>
      </c>
      <c r="Q553" s="69">
        <v>140000</v>
      </c>
      <c r="R553" s="69">
        <v>120000</v>
      </c>
      <c r="S553" s="62" t="s">
        <v>138</v>
      </c>
      <c r="T553" s="8" t="s">
        <v>47</v>
      </c>
      <c r="U553" s="8">
        <v>0</v>
      </c>
      <c r="V553" s="8">
        <v>0</v>
      </c>
      <c r="W553" s="8">
        <v>0</v>
      </c>
      <c r="X553" s="8">
        <v>1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62" t="s">
        <v>107</v>
      </c>
      <c r="AL553" s="62" t="s">
        <v>50</v>
      </c>
      <c r="AM553" s="62" t="s">
        <v>108</v>
      </c>
      <c r="AN553" s="5"/>
      <c r="AO553" s="7"/>
    </row>
    <row r="554" spans="1:41" ht="15.75" customHeight="1" x14ac:dyDescent="0.25">
      <c r="A554" s="4">
        <v>553</v>
      </c>
      <c r="B554" s="5" t="s">
        <v>433</v>
      </c>
      <c r="C554" s="58">
        <v>3.9</v>
      </c>
      <c r="D554" s="61" t="s">
        <v>1125</v>
      </c>
      <c r="E554" s="72" t="s">
        <v>98</v>
      </c>
      <c r="F554" s="62" t="s">
        <v>114</v>
      </c>
      <c r="G554" s="8" t="s">
        <v>81</v>
      </c>
      <c r="H554" s="8">
        <v>2008</v>
      </c>
      <c r="I554" s="62" t="s">
        <v>89</v>
      </c>
      <c r="J554" s="62" t="s">
        <v>216</v>
      </c>
      <c r="K554" s="62" t="s">
        <v>111</v>
      </c>
      <c r="L554" s="62" t="s">
        <v>83</v>
      </c>
      <c r="M554" s="62" t="s">
        <v>47</v>
      </c>
      <c r="N554" s="5">
        <v>0</v>
      </c>
      <c r="O554" s="8">
        <v>0</v>
      </c>
      <c r="P554" s="69">
        <v>99000</v>
      </c>
      <c r="Q554" s="69">
        <v>178000</v>
      </c>
      <c r="R554" s="69">
        <v>138500</v>
      </c>
      <c r="S554" s="62" t="s">
        <v>102</v>
      </c>
      <c r="T554" s="8">
        <f t="shared" ref="T554:T560" si="28">2023-H554</f>
        <v>15</v>
      </c>
      <c r="U554" s="8">
        <v>1</v>
      </c>
      <c r="V554" s="8">
        <v>0</v>
      </c>
      <c r="W554" s="8">
        <v>0</v>
      </c>
      <c r="X554" s="8">
        <v>0</v>
      </c>
      <c r="Y554" s="8">
        <v>1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1</v>
      </c>
      <c r="AG554" s="8">
        <v>0</v>
      </c>
      <c r="AH554" s="8">
        <v>0</v>
      </c>
      <c r="AI554" s="8">
        <v>0</v>
      </c>
      <c r="AJ554" s="8">
        <v>0</v>
      </c>
      <c r="AK554" s="62" t="s">
        <v>132</v>
      </c>
      <c r="AL554" s="62" t="s">
        <v>169</v>
      </c>
      <c r="AM554" s="62" t="s">
        <v>77</v>
      </c>
      <c r="AN554" s="5"/>
      <c r="AO554" s="7"/>
    </row>
    <row r="555" spans="1:41" ht="15.75" customHeight="1" x14ac:dyDescent="0.25">
      <c r="A555" s="4">
        <v>554</v>
      </c>
      <c r="B555" s="5" t="s">
        <v>1126</v>
      </c>
      <c r="C555" s="58">
        <v>3.6</v>
      </c>
      <c r="D555" s="61" t="s">
        <v>1127</v>
      </c>
      <c r="E555" s="72" t="s">
        <v>1128</v>
      </c>
      <c r="F555" s="62" t="s">
        <v>910</v>
      </c>
      <c r="G555" s="8" t="s">
        <v>56</v>
      </c>
      <c r="H555" s="8">
        <v>2017</v>
      </c>
      <c r="I555" s="62" t="s">
        <v>89</v>
      </c>
      <c r="J555" s="62" t="s">
        <v>136</v>
      </c>
      <c r="K555" s="62" t="s">
        <v>136</v>
      </c>
      <c r="L555" s="62" t="s">
        <v>60</v>
      </c>
      <c r="M555" s="62" t="s">
        <v>1129</v>
      </c>
      <c r="N555" s="5">
        <v>0</v>
      </c>
      <c r="O555" s="8">
        <v>0</v>
      </c>
      <c r="P555" s="69">
        <v>86000</v>
      </c>
      <c r="Q555" s="69">
        <v>137000</v>
      </c>
      <c r="R555" s="69">
        <v>111500</v>
      </c>
      <c r="S555" s="62" t="s">
        <v>305</v>
      </c>
      <c r="T555" s="8">
        <f t="shared" si="28"/>
        <v>6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62" t="s">
        <v>49</v>
      </c>
      <c r="AL555" s="62" t="s">
        <v>169</v>
      </c>
      <c r="AM555" s="62" t="s">
        <v>51</v>
      </c>
      <c r="AN555" s="5"/>
      <c r="AO555" s="7"/>
    </row>
    <row r="556" spans="1:41" ht="15.75" customHeight="1" x14ac:dyDescent="0.25">
      <c r="A556" s="4">
        <v>555</v>
      </c>
      <c r="B556" s="5" t="s">
        <v>1130</v>
      </c>
      <c r="C556" s="58">
        <v>3.6</v>
      </c>
      <c r="D556" s="61" t="s">
        <v>550</v>
      </c>
      <c r="E556" s="72" t="s">
        <v>269</v>
      </c>
      <c r="F556" s="62" t="s">
        <v>551</v>
      </c>
      <c r="G556" s="8" t="s">
        <v>120</v>
      </c>
      <c r="H556" s="8">
        <v>1851</v>
      </c>
      <c r="I556" s="62" t="s">
        <v>44</v>
      </c>
      <c r="J556" s="62" t="s">
        <v>161</v>
      </c>
      <c r="K556" s="62" t="s">
        <v>162</v>
      </c>
      <c r="L556" s="62" t="s">
        <v>128</v>
      </c>
      <c r="M556" s="62" t="s">
        <v>47</v>
      </c>
      <c r="N556" s="5">
        <v>0</v>
      </c>
      <c r="O556" s="8">
        <v>0</v>
      </c>
      <c r="P556" s="69">
        <v>37000</v>
      </c>
      <c r="Q556" s="69">
        <v>100000</v>
      </c>
      <c r="R556" s="69">
        <v>68500</v>
      </c>
      <c r="S556" s="62" t="s">
        <v>138</v>
      </c>
      <c r="T556" s="8">
        <f t="shared" si="28"/>
        <v>172</v>
      </c>
      <c r="U556" s="8">
        <v>0</v>
      </c>
      <c r="V556" s="8">
        <v>0</v>
      </c>
      <c r="W556" s="8">
        <v>0</v>
      </c>
      <c r="X556" s="8">
        <v>1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62" t="s">
        <v>49</v>
      </c>
      <c r="AL556" s="62" t="s">
        <v>50</v>
      </c>
      <c r="AM556" s="62" t="s">
        <v>51</v>
      </c>
      <c r="AN556" s="5"/>
      <c r="AO556" s="7"/>
    </row>
    <row r="557" spans="1:41" ht="15.75" customHeight="1" x14ac:dyDescent="0.25">
      <c r="A557" s="4">
        <v>556</v>
      </c>
      <c r="B557" s="5" t="s">
        <v>1131</v>
      </c>
      <c r="C557" s="58">
        <v>3.9</v>
      </c>
      <c r="D557" s="61" t="s">
        <v>1100</v>
      </c>
      <c r="E557" s="72" t="s">
        <v>134</v>
      </c>
      <c r="F557" s="62" t="s">
        <v>1101</v>
      </c>
      <c r="G557" s="8" t="s">
        <v>56</v>
      </c>
      <c r="H557" s="8">
        <v>1830</v>
      </c>
      <c r="I557" s="62" t="s">
        <v>89</v>
      </c>
      <c r="J557" s="62" t="s">
        <v>136</v>
      </c>
      <c r="K557" s="62" t="s">
        <v>136</v>
      </c>
      <c r="L557" s="62" t="s">
        <v>128</v>
      </c>
      <c r="M557" s="62" t="s">
        <v>1102</v>
      </c>
      <c r="N557" s="5">
        <v>0</v>
      </c>
      <c r="O557" s="8">
        <v>0</v>
      </c>
      <c r="P557" s="69">
        <v>58000</v>
      </c>
      <c r="Q557" s="69">
        <v>111000</v>
      </c>
      <c r="R557" s="69">
        <v>84500</v>
      </c>
      <c r="S557" s="62" t="s">
        <v>138</v>
      </c>
      <c r="T557" s="8">
        <f t="shared" si="28"/>
        <v>193</v>
      </c>
      <c r="U557" s="8">
        <v>0</v>
      </c>
      <c r="V557" s="8">
        <v>0</v>
      </c>
      <c r="W557" s="8">
        <v>1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62" t="s">
        <v>107</v>
      </c>
      <c r="AL557" s="62" t="s">
        <v>169</v>
      </c>
      <c r="AM557" s="62" t="s">
        <v>51</v>
      </c>
      <c r="AN557" s="5"/>
      <c r="AO557" s="7"/>
    </row>
    <row r="558" spans="1:41" ht="15.75" customHeight="1" x14ac:dyDescent="0.25">
      <c r="A558" s="4">
        <v>557</v>
      </c>
      <c r="B558" s="5" t="s">
        <v>464</v>
      </c>
      <c r="C558" s="58">
        <v>4.4000000000000004</v>
      </c>
      <c r="D558" s="61" t="s">
        <v>716</v>
      </c>
      <c r="E558" s="72" t="s">
        <v>717</v>
      </c>
      <c r="F558" s="62" t="s">
        <v>114</v>
      </c>
      <c r="G558" s="8" t="s">
        <v>70</v>
      </c>
      <c r="H558" s="8">
        <v>2006</v>
      </c>
      <c r="I558" s="62" t="s">
        <v>89</v>
      </c>
      <c r="J558" s="62" t="s">
        <v>110</v>
      </c>
      <c r="K558" s="62" t="s">
        <v>111</v>
      </c>
      <c r="L558" s="62" t="s">
        <v>66</v>
      </c>
      <c r="M558" s="62" t="s">
        <v>718</v>
      </c>
      <c r="N558" s="5">
        <v>0</v>
      </c>
      <c r="O558" s="8">
        <v>0</v>
      </c>
      <c r="P558" s="69">
        <v>72000</v>
      </c>
      <c r="Q558" s="69">
        <v>133000</v>
      </c>
      <c r="R558" s="69">
        <v>102500</v>
      </c>
      <c r="S558" s="62" t="s">
        <v>542</v>
      </c>
      <c r="T558" s="8">
        <f t="shared" si="28"/>
        <v>17</v>
      </c>
      <c r="U558" s="8">
        <v>1</v>
      </c>
      <c r="V558" s="8">
        <v>1</v>
      </c>
      <c r="W558" s="8">
        <v>1</v>
      </c>
      <c r="X558" s="8">
        <v>0</v>
      </c>
      <c r="Y558" s="8">
        <v>1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1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62" t="s">
        <v>146</v>
      </c>
      <c r="AL558" s="62" t="s">
        <v>169</v>
      </c>
      <c r="AM558" s="62" t="s">
        <v>77</v>
      </c>
      <c r="AN558" s="5"/>
      <c r="AO558" s="7"/>
    </row>
    <row r="559" spans="1:41" ht="15.75" customHeight="1" x14ac:dyDescent="0.25">
      <c r="A559" s="4">
        <v>558</v>
      </c>
      <c r="B559" s="5" t="s">
        <v>900</v>
      </c>
      <c r="C559" s="58">
        <v>2.6</v>
      </c>
      <c r="D559" s="61" t="s">
        <v>530</v>
      </c>
      <c r="E559" s="72" t="s">
        <v>342</v>
      </c>
      <c r="F559" s="62" t="s">
        <v>342</v>
      </c>
      <c r="G559" s="8" t="s">
        <v>43</v>
      </c>
      <c r="H559" s="8">
        <v>1984</v>
      </c>
      <c r="I559" s="62" t="s">
        <v>531</v>
      </c>
      <c r="J559" s="62" t="s">
        <v>532</v>
      </c>
      <c r="K559" s="62" t="s">
        <v>415</v>
      </c>
      <c r="L559" s="62" t="s">
        <v>83</v>
      </c>
      <c r="M559" s="62" t="s">
        <v>47</v>
      </c>
      <c r="N559" s="5">
        <v>0</v>
      </c>
      <c r="O559" s="8">
        <v>0</v>
      </c>
      <c r="P559" s="69">
        <v>56000</v>
      </c>
      <c r="Q559" s="69">
        <v>91000</v>
      </c>
      <c r="R559" s="69">
        <v>73500</v>
      </c>
      <c r="S559" s="62" t="s">
        <v>305</v>
      </c>
      <c r="T559" s="8">
        <f t="shared" si="28"/>
        <v>39</v>
      </c>
      <c r="U559" s="8">
        <v>0</v>
      </c>
      <c r="V559" s="8">
        <v>0</v>
      </c>
      <c r="W559" s="8">
        <v>0</v>
      </c>
      <c r="X559" s="8">
        <v>1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62" t="s">
        <v>107</v>
      </c>
      <c r="AL559" s="62" t="s">
        <v>50</v>
      </c>
      <c r="AM559" s="62" t="s">
        <v>108</v>
      </c>
      <c r="AN559" s="5"/>
      <c r="AO559" s="7"/>
    </row>
    <row r="560" spans="1:41" ht="15.75" customHeight="1" x14ac:dyDescent="0.25">
      <c r="A560" s="4">
        <v>559</v>
      </c>
      <c r="B560" s="5" t="s">
        <v>1132</v>
      </c>
      <c r="C560" s="58">
        <v>3.6</v>
      </c>
      <c r="D560" s="61" t="s">
        <v>1133</v>
      </c>
      <c r="E560" s="72" t="s">
        <v>256</v>
      </c>
      <c r="F560" s="62" t="s">
        <v>364</v>
      </c>
      <c r="G560" s="8" t="s">
        <v>43</v>
      </c>
      <c r="H560" s="8">
        <v>1967</v>
      </c>
      <c r="I560" s="62" t="s">
        <v>160</v>
      </c>
      <c r="J560" s="62" t="s">
        <v>397</v>
      </c>
      <c r="K560" s="62" t="s">
        <v>71</v>
      </c>
      <c r="L560" s="62" t="s">
        <v>46</v>
      </c>
      <c r="M560" s="62" t="s">
        <v>47</v>
      </c>
      <c r="N560" s="5">
        <v>0</v>
      </c>
      <c r="O560" s="8">
        <v>0</v>
      </c>
      <c r="P560" s="69">
        <v>61000</v>
      </c>
      <c r="Q560" s="69">
        <v>126000</v>
      </c>
      <c r="R560" s="69">
        <v>93500</v>
      </c>
      <c r="S560" s="62" t="s">
        <v>258</v>
      </c>
      <c r="T560" s="8">
        <f t="shared" si="28"/>
        <v>56</v>
      </c>
      <c r="U560" s="8">
        <v>1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62" t="s">
        <v>107</v>
      </c>
      <c r="AL560" s="62" t="s">
        <v>50</v>
      </c>
      <c r="AM560" s="62" t="s">
        <v>51</v>
      </c>
      <c r="AN560" s="5"/>
      <c r="AO560" s="7"/>
    </row>
    <row r="561" spans="1:41" ht="15.75" customHeight="1" x14ac:dyDescent="0.25">
      <c r="A561" s="4">
        <v>560</v>
      </c>
      <c r="B561" s="5" t="s">
        <v>1134</v>
      </c>
      <c r="C561" s="58">
        <v>3.2</v>
      </c>
      <c r="D561" s="61" t="s">
        <v>314</v>
      </c>
      <c r="E561" s="72" t="s">
        <v>1135</v>
      </c>
      <c r="F561" s="62" t="s">
        <v>316</v>
      </c>
      <c r="G561" s="8">
        <v>500</v>
      </c>
      <c r="H561" s="8" t="s">
        <v>47</v>
      </c>
      <c r="I561" s="62" t="s">
        <v>44</v>
      </c>
      <c r="J561" s="62" t="s">
        <v>317</v>
      </c>
      <c r="K561" s="62" t="s">
        <v>65</v>
      </c>
      <c r="L561" s="62" t="s">
        <v>318</v>
      </c>
      <c r="M561" s="62" t="s">
        <v>47</v>
      </c>
      <c r="N561" s="5">
        <v>0</v>
      </c>
      <c r="O561" s="8">
        <v>0</v>
      </c>
      <c r="P561" s="69">
        <v>95000</v>
      </c>
      <c r="Q561" s="69">
        <v>160000</v>
      </c>
      <c r="R561" s="69">
        <v>127500</v>
      </c>
      <c r="S561" s="62" t="s">
        <v>305</v>
      </c>
      <c r="T561" s="8" t="s">
        <v>47</v>
      </c>
      <c r="U561" s="8">
        <v>0</v>
      </c>
      <c r="V561" s="8">
        <v>0</v>
      </c>
      <c r="W561" s="8">
        <v>0</v>
      </c>
      <c r="X561" s="8">
        <v>1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62" t="s">
        <v>49</v>
      </c>
      <c r="AL561" s="62" t="s">
        <v>50</v>
      </c>
      <c r="AM561" s="62" t="s">
        <v>77</v>
      </c>
      <c r="AN561" s="5"/>
      <c r="AO561" s="7"/>
    </row>
    <row r="562" spans="1:41" ht="15.75" customHeight="1" x14ac:dyDescent="0.25">
      <c r="A562" s="4">
        <v>561</v>
      </c>
      <c r="B562" s="5" t="s">
        <v>1136</v>
      </c>
      <c r="C562" s="58">
        <v>4.2</v>
      </c>
      <c r="D562" s="61" t="s">
        <v>520</v>
      </c>
      <c r="E562" s="72" t="s">
        <v>628</v>
      </c>
      <c r="F562" s="62" t="s">
        <v>522</v>
      </c>
      <c r="G562" s="8" t="s">
        <v>56</v>
      </c>
      <c r="H562" s="8" t="s">
        <v>47</v>
      </c>
      <c r="I562" s="62" t="s">
        <v>160</v>
      </c>
      <c r="J562" s="62" t="s">
        <v>523</v>
      </c>
      <c r="K562" s="62" t="s">
        <v>524</v>
      </c>
      <c r="L562" s="62" t="s">
        <v>83</v>
      </c>
      <c r="M562" s="62" t="s">
        <v>47</v>
      </c>
      <c r="N562" s="5">
        <v>0</v>
      </c>
      <c r="O562" s="8">
        <v>0</v>
      </c>
      <c r="P562" s="69">
        <v>53000</v>
      </c>
      <c r="Q562" s="69">
        <v>91000</v>
      </c>
      <c r="R562" s="69">
        <v>72000</v>
      </c>
      <c r="S562" s="62" t="s">
        <v>525</v>
      </c>
      <c r="T562" s="8" t="s">
        <v>47</v>
      </c>
      <c r="U562" s="8">
        <v>0</v>
      </c>
      <c r="V562" s="8">
        <v>0</v>
      </c>
      <c r="W562" s="8">
        <v>0</v>
      </c>
      <c r="X562" s="8">
        <v>0</v>
      </c>
      <c r="Y562" s="8">
        <v>1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1</v>
      </c>
      <c r="AG562" s="8">
        <v>0</v>
      </c>
      <c r="AH562" s="8">
        <v>0</v>
      </c>
      <c r="AI562" s="8">
        <v>0</v>
      </c>
      <c r="AJ562" s="8">
        <v>0</v>
      </c>
      <c r="AK562" s="62" t="s">
        <v>132</v>
      </c>
      <c r="AL562" s="62" t="s">
        <v>50</v>
      </c>
      <c r="AM562" s="62" t="s">
        <v>77</v>
      </c>
      <c r="AN562" s="5"/>
      <c r="AO562" s="7"/>
    </row>
    <row r="563" spans="1:41" ht="15.75" customHeight="1" x14ac:dyDescent="0.25">
      <c r="A563" s="4">
        <v>562</v>
      </c>
      <c r="B563" s="5" t="s">
        <v>901</v>
      </c>
      <c r="C563" s="58">
        <v>3.6</v>
      </c>
      <c r="D563" s="61" t="s">
        <v>550</v>
      </c>
      <c r="E563" s="72" t="s">
        <v>269</v>
      </c>
      <c r="F563" s="62" t="s">
        <v>551</v>
      </c>
      <c r="G563" s="8" t="s">
        <v>120</v>
      </c>
      <c r="H563" s="8">
        <v>1851</v>
      </c>
      <c r="I563" s="62" t="s">
        <v>44</v>
      </c>
      <c r="J563" s="62" t="s">
        <v>161</v>
      </c>
      <c r="K563" s="62" t="s">
        <v>162</v>
      </c>
      <c r="L563" s="62" t="s">
        <v>128</v>
      </c>
      <c r="M563" s="62" t="s">
        <v>47</v>
      </c>
      <c r="N563" s="5">
        <v>0</v>
      </c>
      <c r="O563" s="8">
        <v>0</v>
      </c>
      <c r="P563" s="69">
        <v>101000</v>
      </c>
      <c r="Q563" s="69">
        <v>158000</v>
      </c>
      <c r="R563" s="69">
        <v>129500</v>
      </c>
      <c r="S563" s="62" t="s">
        <v>138</v>
      </c>
      <c r="T563" s="8">
        <f t="shared" ref="T563:T576" si="29">2023-H563</f>
        <v>172</v>
      </c>
      <c r="U563" s="8">
        <v>1</v>
      </c>
      <c r="V563" s="8">
        <v>1</v>
      </c>
      <c r="W563" s="8">
        <v>1</v>
      </c>
      <c r="X563" s="8">
        <v>1</v>
      </c>
      <c r="Y563" s="8">
        <v>1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1</v>
      </c>
      <c r="AF563" s="8">
        <v>1</v>
      </c>
      <c r="AG563" s="8">
        <v>1</v>
      </c>
      <c r="AH563" s="8">
        <v>0</v>
      </c>
      <c r="AI563" s="8">
        <v>0</v>
      </c>
      <c r="AJ563" s="8">
        <v>0</v>
      </c>
      <c r="AK563" s="62" t="s">
        <v>107</v>
      </c>
      <c r="AL563" s="62" t="s">
        <v>50</v>
      </c>
      <c r="AM563" s="62" t="s">
        <v>77</v>
      </c>
      <c r="AN563" s="5"/>
      <c r="AO563" s="7"/>
    </row>
    <row r="564" spans="1:41" ht="15.75" customHeight="1" x14ac:dyDescent="0.25">
      <c r="A564" s="4">
        <v>563</v>
      </c>
      <c r="B564" s="5" t="s">
        <v>1137</v>
      </c>
      <c r="C564" s="58">
        <v>3.1</v>
      </c>
      <c r="D564" s="61" t="s">
        <v>1138</v>
      </c>
      <c r="E564" s="72" t="s">
        <v>1139</v>
      </c>
      <c r="F564" s="62" t="s">
        <v>1139</v>
      </c>
      <c r="G564" s="8" t="s">
        <v>70</v>
      </c>
      <c r="H564" s="8">
        <v>1977</v>
      </c>
      <c r="I564" s="62" t="s">
        <v>44</v>
      </c>
      <c r="J564" s="62" t="s">
        <v>499</v>
      </c>
      <c r="K564" s="62" t="s">
        <v>427</v>
      </c>
      <c r="L564" s="62" t="s">
        <v>74</v>
      </c>
      <c r="M564" s="62" t="s">
        <v>1140</v>
      </c>
      <c r="N564" s="5">
        <v>0</v>
      </c>
      <c r="O564" s="8">
        <v>0</v>
      </c>
      <c r="P564" s="69">
        <v>33000</v>
      </c>
      <c r="Q564" s="69">
        <v>61000</v>
      </c>
      <c r="R564" s="69">
        <v>47000</v>
      </c>
      <c r="S564" s="62" t="s">
        <v>525</v>
      </c>
      <c r="T564" s="8">
        <f t="shared" si="29"/>
        <v>46</v>
      </c>
      <c r="U564" s="8">
        <v>1</v>
      </c>
      <c r="V564" s="8">
        <v>0</v>
      </c>
      <c r="W564" s="8">
        <v>0</v>
      </c>
      <c r="X564" s="8">
        <v>1</v>
      </c>
      <c r="Y564" s="8">
        <v>1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1</v>
      </c>
      <c r="AG564" s="8">
        <v>0</v>
      </c>
      <c r="AH564" s="8">
        <v>0</v>
      </c>
      <c r="AI564" s="8">
        <v>0</v>
      </c>
      <c r="AJ564" s="8">
        <v>0</v>
      </c>
      <c r="AK564" s="62" t="s">
        <v>132</v>
      </c>
      <c r="AL564" s="62" t="s">
        <v>50</v>
      </c>
      <c r="AM564" s="62" t="s">
        <v>77</v>
      </c>
      <c r="AN564" s="5"/>
      <c r="AO564" s="7"/>
    </row>
    <row r="565" spans="1:41" ht="15.75" customHeight="1" x14ac:dyDescent="0.25">
      <c r="A565" s="4">
        <v>564</v>
      </c>
      <c r="B565" s="5" t="s">
        <v>1141</v>
      </c>
      <c r="C565" s="58">
        <v>3.8</v>
      </c>
      <c r="D565" s="61" t="s">
        <v>1142</v>
      </c>
      <c r="E565" s="72" t="s">
        <v>1143</v>
      </c>
      <c r="F565" s="62" t="s">
        <v>1143</v>
      </c>
      <c r="G565" s="8" t="s">
        <v>43</v>
      </c>
      <c r="H565" s="8">
        <v>2014</v>
      </c>
      <c r="I565" s="62" t="s">
        <v>142</v>
      </c>
      <c r="J565" s="62" t="s">
        <v>1088</v>
      </c>
      <c r="K565" s="62" t="s">
        <v>1042</v>
      </c>
      <c r="L565" s="62" t="s">
        <v>83</v>
      </c>
      <c r="M565" s="62" t="s">
        <v>47</v>
      </c>
      <c r="N565" s="5">
        <v>0</v>
      </c>
      <c r="O565" s="8">
        <v>0</v>
      </c>
      <c r="P565" s="69">
        <v>44000</v>
      </c>
      <c r="Q565" s="69">
        <v>86000</v>
      </c>
      <c r="R565" s="69">
        <v>65000</v>
      </c>
      <c r="S565" s="62" t="s">
        <v>274</v>
      </c>
      <c r="T565" s="8">
        <f t="shared" si="29"/>
        <v>9</v>
      </c>
      <c r="U565" s="8">
        <v>1</v>
      </c>
      <c r="V565" s="8">
        <v>1</v>
      </c>
      <c r="W565" s="8">
        <v>1</v>
      </c>
      <c r="X565" s="8">
        <v>1</v>
      </c>
      <c r="Y565" s="8">
        <v>1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62" t="s">
        <v>146</v>
      </c>
      <c r="AL565" s="62" t="s">
        <v>50</v>
      </c>
      <c r="AM565" s="62" t="s">
        <v>77</v>
      </c>
      <c r="AN565" s="5"/>
      <c r="AO565" s="7"/>
    </row>
    <row r="566" spans="1:41" ht="15.75" customHeight="1" x14ac:dyDescent="0.25">
      <c r="A566" s="4">
        <v>565</v>
      </c>
      <c r="B566" s="5" t="s">
        <v>903</v>
      </c>
      <c r="C566" s="58">
        <v>3.8</v>
      </c>
      <c r="D566" s="61" t="s">
        <v>904</v>
      </c>
      <c r="E566" s="72" t="s">
        <v>905</v>
      </c>
      <c r="F566" s="62" t="s">
        <v>906</v>
      </c>
      <c r="G566" s="8" t="s">
        <v>70</v>
      </c>
      <c r="H566" s="8">
        <v>1870</v>
      </c>
      <c r="I566" s="62" t="s">
        <v>89</v>
      </c>
      <c r="J566" s="62" t="s">
        <v>95</v>
      </c>
      <c r="K566" s="62" t="s">
        <v>96</v>
      </c>
      <c r="L566" s="62" t="s">
        <v>91</v>
      </c>
      <c r="M566" s="62" t="s">
        <v>907</v>
      </c>
      <c r="N566" s="5">
        <v>0</v>
      </c>
      <c r="O566" s="8">
        <v>0</v>
      </c>
      <c r="P566" s="69">
        <v>43000</v>
      </c>
      <c r="Q566" s="69">
        <v>77000</v>
      </c>
      <c r="R566" s="69">
        <v>60000</v>
      </c>
      <c r="S566" s="62" t="s">
        <v>403</v>
      </c>
      <c r="T566" s="8">
        <f t="shared" si="29"/>
        <v>153</v>
      </c>
      <c r="U566" s="8">
        <v>0</v>
      </c>
      <c r="V566" s="8">
        <v>0</v>
      </c>
      <c r="W566" s="8">
        <v>1</v>
      </c>
      <c r="X566" s="8">
        <v>1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62" t="s">
        <v>132</v>
      </c>
      <c r="AL566" s="62" t="s">
        <v>50</v>
      </c>
      <c r="AM566" s="62" t="s">
        <v>77</v>
      </c>
      <c r="AN566" s="5"/>
      <c r="AO566" s="7"/>
    </row>
    <row r="567" spans="1:41" ht="15.75" customHeight="1" x14ac:dyDescent="0.25">
      <c r="A567" s="4">
        <v>566</v>
      </c>
      <c r="B567" s="5" t="s">
        <v>902</v>
      </c>
      <c r="C567" s="58">
        <v>4</v>
      </c>
      <c r="D567" s="61" t="s">
        <v>186</v>
      </c>
      <c r="E567" s="72" t="s">
        <v>79</v>
      </c>
      <c r="F567" s="62" t="s">
        <v>80</v>
      </c>
      <c r="G567" s="8" t="s">
        <v>56</v>
      </c>
      <c r="H567" s="8">
        <v>1849</v>
      </c>
      <c r="I567" s="62" t="s">
        <v>89</v>
      </c>
      <c r="J567" s="62" t="s">
        <v>136</v>
      </c>
      <c r="K567" s="62" t="s">
        <v>136</v>
      </c>
      <c r="L567" s="62" t="s">
        <v>128</v>
      </c>
      <c r="M567" s="62" t="s">
        <v>47</v>
      </c>
      <c r="N567" s="5">
        <v>0</v>
      </c>
      <c r="O567" s="8">
        <v>0</v>
      </c>
      <c r="P567" s="69">
        <v>125000</v>
      </c>
      <c r="Q567" s="69">
        <v>210000</v>
      </c>
      <c r="R567" s="69">
        <v>167500</v>
      </c>
      <c r="S567" s="62" t="s">
        <v>85</v>
      </c>
      <c r="T567" s="8">
        <f t="shared" si="29"/>
        <v>174</v>
      </c>
      <c r="U567" s="8">
        <v>0</v>
      </c>
      <c r="V567" s="8">
        <v>0</v>
      </c>
      <c r="W567" s="8">
        <v>1</v>
      </c>
      <c r="X567" s="8">
        <v>1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62" t="s">
        <v>49</v>
      </c>
      <c r="AL567" s="62" t="s">
        <v>169</v>
      </c>
      <c r="AM567" s="62" t="s">
        <v>51</v>
      </c>
      <c r="AN567" s="5"/>
      <c r="AO567" s="7"/>
    </row>
    <row r="568" spans="1:41" ht="15.75" customHeight="1" x14ac:dyDescent="0.25">
      <c r="A568" s="4">
        <v>567</v>
      </c>
      <c r="B568" s="5" t="s">
        <v>908</v>
      </c>
      <c r="C568" s="58">
        <v>3.8</v>
      </c>
      <c r="D568" s="61" t="s">
        <v>685</v>
      </c>
      <c r="E568" s="72" t="s">
        <v>79</v>
      </c>
      <c r="F568" s="62" t="s">
        <v>80</v>
      </c>
      <c r="G568" s="8" t="s">
        <v>70</v>
      </c>
      <c r="H568" s="8">
        <v>2002</v>
      </c>
      <c r="I568" s="62" t="s">
        <v>44</v>
      </c>
      <c r="J568" s="62" t="s">
        <v>517</v>
      </c>
      <c r="K568" s="62" t="s">
        <v>518</v>
      </c>
      <c r="L568" s="62" t="s">
        <v>60</v>
      </c>
      <c r="M568" s="62" t="s">
        <v>686</v>
      </c>
      <c r="N568" s="5">
        <v>0</v>
      </c>
      <c r="O568" s="8">
        <v>0</v>
      </c>
      <c r="P568" s="69">
        <v>44000</v>
      </c>
      <c r="Q568" s="69">
        <v>86000</v>
      </c>
      <c r="R568" s="69">
        <v>65000</v>
      </c>
      <c r="S568" s="62" t="s">
        <v>85</v>
      </c>
      <c r="T568" s="8">
        <f t="shared" si="29"/>
        <v>21</v>
      </c>
      <c r="U568" s="8">
        <v>0</v>
      </c>
      <c r="V568" s="8">
        <v>0</v>
      </c>
      <c r="W568" s="8">
        <v>0</v>
      </c>
      <c r="X568" s="8">
        <v>1</v>
      </c>
      <c r="Y568" s="8">
        <v>1</v>
      </c>
      <c r="Z568" s="8">
        <v>1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62" t="s">
        <v>132</v>
      </c>
      <c r="AL568" s="62" t="s">
        <v>50</v>
      </c>
      <c r="AM568" s="62" t="s">
        <v>77</v>
      </c>
      <c r="AN568" s="5"/>
      <c r="AO568" s="7"/>
    </row>
    <row r="569" spans="1:41" ht="15.75" customHeight="1" x14ac:dyDescent="0.25">
      <c r="A569" s="4">
        <v>568</v>
      </c>
      <c r="B569" s="5" t="s">
        <v>433</v>
      </c>
      <c r="C569" s="58">
        <v>4</v>
      </c>
      <c r="D569" s="61" t="s">
        <v>182</v>
      </c>
      <c r="E569" s="72" t="s">
        <v>119</v>
      </c>
      <c r="F569" s="62" t="s">
        <v>183</v>
      </c>
      <c r="G569" s="8" t="s">
        <v>43</v>
      </c>
      <c r="H569" s="8">
        <v>2012</v>
      </c>
      <c r="I569" s="62" t="s">
        <v>44</v>
      </c>
      <c r="J569" s="62" t="s">
        <v>155</v>
      </c>
      <c r="K569" s="62" t="s">
        <v>111</v>
      </c>
      <c r="L569" s="62" t="s">
        <v>66</v>
      </c>
      <c r="M569" s="62" t="s">
        <v>184</v>
      </c>
      <c r="N569" s="5">
        <v>0</v>
      </c>
      <c r="O569" s="8">
        <v>0</v>
      </c>
      <c r="P569" s="69">
        <v>69000</v>
      </c>
      <c r="Q569" s="69">
        <v>119000</v>
      </c>
      <c r="R569" s="69">
        <v>94000</v>
      </c>
      <c r="S569" s="62" t="s">
        <v>122</v>
      </c>
      <c r="T569" s="8">
        <f t="shared" si="29"/>
        <v>11</v>
      </c>
      <c r="U569" s="8">
        <v>1</v>
      </c>
      <c r="V569" s="8">
        <v>0</v>
      </c>
      <c r="W569" s="8">
        <v>0</v>
      </c>
      <c r="X569" s="8">
        <v>0</v>
      </c>
      <c r="Y569" s="8">
        <v>1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62" t="s">
        <v>132</v>
      </c>
      <c r="AL569" s="62" t="s">
        <v>169</v>
      </c>
      <c r="AM569" s="62" t="s">
        <v>77</v>
      </c>
      <c r="AN569" s="5"/>
      <c r="AO569" s="7"/>
    </row>
    <row r="570" spans="1:41" ht="15.75" customHeight="1" x14ac:dyDescent="0.25">
      <c r="A570" s="4">
        <v>569</v>
      </c>
      <c r="B570" s="5" t="s">
        <v>433</v>
      </c>
      <c r="C570" s="58">
        <v>1.9</v>
      </c>
      <c r="D570" s="61" t="s">
        <v>913</v>
      </c>
      <c r="E570" s="72" t="s">
        <v>79</v>
      </c>
      <c r="F570" s="62" t="s">
        <v>80</v>
      </c>
      <c r="G570" s="8" t="s">
        <v>88</v>
      </c>
      <c r="H570" s="8">
        <v>2010</v>
      </c>
      <c r="I570" s="62" t="s">
        <v>44</v>
      </c>
      <c r="J570" s="62" t="s">
        <v>127</v>
      </c>
      <c r="K570" s="62" t="s">
        <v>116</v>
      </c>
      <c r="L570" s="62" t="s">
        <v>66</v>
      </c>
      <c r="M570" s="62" t="s">
        <v>914</v>
      </c>
      <c r="N570" s="5">
        <v>0</v>
      </c>
      <c r="O570" s="8">
        <v>0</v>
      </c>
      <c r="P570" s="69">
        <v>65000</v>
      </c>
      <c r="Q570" s="69">
        <v>110000</v>
      </c>
      <c r="R570" s="69">
        <v>87500</v>
      </c>
      <c r="S570" s="62" t="s">
        <v>85</v>
      </c>
      <c r="T570" s="8">
        <f t="shared" si="29"/>
        <v>13</v>
      </c>
      <c r="U570" s="8">
        <v>1</v>
      </c>
      <c r="V570" s="8">
        <v>0</v>
      </c>
      <c r="W570" s="8">
        <v>0</v>
      </c>
      <c r="X570" s="8">
        <v>1</v>
      </c>
      <c r="Y570" s="8">
        <v>1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1</v>
      </c>
      <c r="AK570" s="62" t="s">
        <v>132</v>
      </c>
      <c r="AL570" s="62" t="s">
        <v>169</v>
      </c>
      <c r="AM570" s="62" t="s">
        <v>77</v>
      </c>
      <c r="AN570" s="5"/>
      <c r="AO570" s="7"/>
    </row>
    <row r="571" spans="1:41" ht="15.75" customHeight="1" x14ac:dyDescent="0.25">
      <c r="A571" s="4">
        <v>570</v>
      </c>
      <c r="B571" s="5" t="s">
        <v>464</v>
      </c>
      <c r="C571" s="58">
        <v>4</v>
      </c>
      <c r="D571" s="61" t="s">
        <v>182</v>
      </c>
      <c r="E571" s="72" t="s">
        <v>339</v>
      </c>
      <c r="F571" s="62" t="s">
        <v>183</v>
      </c>
      <c r="G571" s="8" t="s">
        <v>43</v>
      </c>
      <c r="H571" s="8">
        <v>2012</v>
      </c>
      <c r="I571" s="62" t="s">
        <v>44</v>
      </c>
      <c r="J571" s="62" t="s">
        <v>155</v>
      </c>
      <c r="K571" s="62" t="s">
        <v>111</v>
      </c>
      <c r="L571" s="62" t="s">
        <v>66</v>
      </c>
      <c r="M571" s="62" t="s">
        <v>184</v>
      </c>
      <c r="N571" s="5">
        <v>0</v>
      </c>
      <c r="O571" s="8">
        <v>0</v>
      </c>
      <c r="P571" s="69">
        <v>67000</v>
      </c>
      <c r="Q571" s="69">
        <v>127000</v>
      </c>
      <c r="R571" s="69">
        <v>97000</v>
      </c>
      <c r="S571" s="62" t="s">
        <v>122</v>
      </c>
      <c r="T571" s="8">
        <f t="shared" si="29"/>
        <v>11</v>
      </c>
      <c r="U571" s="8">
        <v>1</v>
      </c>
      <c r="V571" s="8">
        <v>1</v>
      </c>
      <c r="W571" s="8">
        <v>1</v>
      </c>
      <c r="X571" s="8">
        <v>0</v>
      </c>
      <c r="Y571" s="8">
        <v>1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1</v>
      </c>
      <c r="AF571" s="8">
        <v>0</v>
      </c>
      <c r="AG571" s="8">
        <v>0</v>
      </c>
      <c r="AH571" s="8">
        <v>1</v>
      </c>
      <c r="AI571" s="8">
        <v>0</v>
      </c>
      <c r="AJ571" s="8">
        <v>0</v>
      </c>
      <c r="AK571" s="62" t="s">
        <v>146</v>
      </c>
      <c r="AL571" s="62" t="s">
        <v>169</v>
      </c>
      <c r="AM571" s="62" t="s">
        <v>77</v>
      </c>
      <c r="AN571" s="5"/>
      <c r="AO571" s="7"/>
    </row>
    <row r="572" spans="1:41" ht="15.75" customHeight="1" x14ac:dyDescent="0.25">
      <c r="A572" s="4">
        <v>571</v>
      </c>
      <c r="B572" s="5" t="s">
        <v>464</v>
      </c>
      <c r="C572" s="58">
        <v>4.3</v>
      </c>
      <c r="D572" s="61" t="s">
        <v>909</v>
      </c>
      <c r="E572" s="72" t="s">
        <v>910</v>
      </c>
      <c r="F572" s="62" t="s">
        <v>911</v>
      </c>
      <c r="G572" s="8" t="s">
        <v>120</v>
      </c>
      <c r="H572" s="8">
        <v>1990</v>
      </c>
      <c r="I572" s="62" t="s">
        <v>44</v>
      </c>
      <c r="J572" s="62" t="s">
        <v>216</v>
      </c>
      <c r="K572" s="62" t="s">
        <v>111</v>
      </c>
      <c r="L572" s="62" t="s">
        <v>91</v>
      </c>
      <c r="M572" s="62" t="s">
        <v>912</v>
      </c>
      <c r="N572" s="5">
        <v>0</v>
      </c>
      <c r="O572" s="8">
        <v>0</v>
      </c>
      <c r="P572" s="69">
        <v>78000</v>
      </c>
      <c r="Q572" s="69">
        <v>147000</v>
      </c>
      <c r="R572" s="69">
        <v>112500</v>
      </c>
      <c r="S572" s="62" t="s">
        <v>423</v>
      </c>
      <c r="T572" s="8">
        <f t="shared" si="29"/>
        <v>33</v>
      </c>
      <c r="U572" s="8">
        <v>1</v>
      </c>
      <c r="V572" s="8">
        <v>1</v>
      </c>
      <c r="W572" s="8">
        <v>1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1</v>
      </c>
      <c r="AF572" s="8">
        <v>0</v>
      </c>
      <c r="AG572" s="8">
        <v>0</v>
      </c>
      <c r="AH572" s="8">
        <v>1</v>
      </c>
      <c r="AI572" s="8">
        <v>0</v>
      </c>
      <c r="AJ572" s="8">
        <v>0</v>
      </c>
      <c r="AK572" s="62" t="s">
        <v>146</v>
      </c>
      <c r="AL572" s="62" t="s">
        <v>169</v>
      </c>
      <c r="AM572" s="62" t="s">
        <v>77</v>
      </c>
      <c r="AN572" s="5"/>
      <c r="AO572" s="7"/>
    </row>
    <row r="573" spans="1:41" ht="15.75" customHeight="1" x14ac:dyDescent="0.25">
      <c r="A573" s="4">
        <v>572</v>
      </c>
      <c r="B573" s="5" t="s">
        <v>1144</v>
      </c>
      <c r="C573" s="58">
        <v>3.6</v>
      </c>
      <c r="D573" s="61" t="s">
        <v>550</v>
      </c>
      <c r="E573" s="72" t="s">
        <v>269</v>
      </c>
      <c r="F573" s="62" t="s">
        <v>551</v>
      </c>
      <c r="G573" s="8" t="s">
        <v>120</v>
      </c>
      <c r="H573" s="8">
        <v>1851</v>
      </c>
      <c r="I573" s="62" t="s">
        <v>44</v>
      </c>
      <c r="J573" s="62" t="s">
        <v>161</v>
      </c>
      <c r="K573" s="62" t="s">
        <v>162</v>
      </c>
      <c r="L573" s="62" t="s">
        <v>128</v>
      </c>
      <c r="M573" s="62" t="s">
        <v>47</v>
      </c>
      <c r="N573" s="5">
        <v>0</v>
      </c>
      <c r="O573" s="8">
        <v>0</v>
      </c>
      <c r="P573" s="69">
        <v>66000</v>
      </c>
      <c r="Q573" s="69">
        <v>117000</v>
      </c>
      <c r="R573" s="69">
        <v>91500</v>
      </c>
      <c r="S573" s="62" t="s">
        <v>138</v>
      </c>
      <c r="T573" s="8">
        <f t="shared" si="29"/>
        <v>172</v>
      </c>
      <c r="U573" s="8">
        <v>0</v>
      </c>
      <c r="V573" s="8">
        <v>1</v>
      </c>
      <c r="W573" s="8">
        <v>1</v>
      </c>
      <c r="X573" s="8">
        <v>1</v>
      </c>
      <c r="Y573" s="8">
        <v>1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1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62" t="s">
        <v>386</v>
      </c>
      <c r="AL573" s="62" t="s">
        <v>50</v>
      </c>
      <c r="AM573" s="62" t="s">
        <v>77</v>
      </c>
      <c r="AN573" s="5"/>
      <c r="AO573" s="7"/>
    </row>
    <row r="574" spans="1:41" ht="15.75" customHeight="1" x14ac:dyDescent="0.25">
      <c r="A574" s="4">
        <v>573</v>
      </c>
      <c r="B574" s="5" t="s">
        <v>915</v>
      </c>
      <c r="C574" s="58">
        <v>3.3</v>
      </c>
      <c r="D574" s="61" t="s">
        <v>268</v>
      </c>
      <c r="E574" s="72" t="s">
        <v>324</v>
      </c>
      <c r="F574" s="62" t="s">
        <v>269</v>
      </c>
      <c r="G574" s="8" t="s">
        <v>56</v>
      </c>
      <c r="H574" s="8">
        <v>1912</v>
      </c>
      <c r="I574" s="62" t="s">
        <v>44</v>
      </c>
      <c r="J574" s="62" t="s">
        <v>161</v>
      </c>
      <c r="K574" s="62" t="s">
        <v>162</v>
      </c>
      <c r="L574" s="62" t="s">
        <v>128</v>
      </c>
      <c r="M574" s="62" t="s">
        <v>270</v>
      </c>
      <c r="N574" s="5">
        <v>0</v>
      </c>
      <c r="O574" s="8">
        <v>0</v>
      </c>
      <c r="P574" s="69">
        <v>37000</v>
      </c>
      <c r="Q574" s="69">
        <v>66000</v>
      </c>
      <c r="R574" s="69">
        <v>51500</v>
      </c>
      <c r="S574" s="62" t="s">
        <v>326</v>
      </c>
      <c r="T574" s="8">
        <f t="shared" si="29"/>
        <v>111</v>
      </c>
      <c r="U574" s="8">
        <v>1</v>
      </c>
      <c r="V574" s="8">
        <v>0</v>
      </c>
      <c r="W574" s="8">
        <v>0</v>
      </c>
      <c r="X574" s="8">
        <v>1</v>
      </c>
      <c r="Y574" s="8">
        <v>1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1</v>
      </c>
      <c r="AH574" s="8">
        <v>0</v>
      </c>
      <c r="AI574" s="8">
        <v>0</v>
      </c>
      <c r="AJ574" s="8">
        <v>0</v>
      </c>
      <c r="AK574" s="62" t="s">
        <v>386</v>
      </c>
      <c r="AL574" s="62" t="s">
        <v>50</v>
      </c>
      <c r="AM574" s="62" t="s">
        <v>51</v>
      </c>
      <c r="AN574" s="5"/>
      <c r="AO574" s="7"/>
    </row>
    <row r="575" spans="1:41" ht="15.75" customHeight="1" x14ac:dyDescent="0.25">
      <c r="A575" s="4">
        <v>574</v>
      </c>
      <c r="B575" s="5" t="s">
        <v>1145</v>
      </c>
      <c r="C575" s="58">
        <v>3.8</v>
      </c>
      <c r="D575" s="61" t="s">
        <v>202</v>
      </c>
      <c r="E575" s="72" t="s">
        <v>134</v>
      </c>
      <c r="F575" s="62" t="s">
        <v>203</v>
      </c>
      <c r="G575" s="8" t="s">
        <v>56</v>
      </c>
      <c r="H575" s="8">
        <v>1996</v>
      </c>
      <c r="I575" s="62" t="s">
        <v>89</v>
      </c>
      <c r="J575" s="62" t="s">
        <v>136</v>
      </c>
      <c r="K575" s="62" t="s">
        <v>136</v>
      </c>
      <c r="L575" s="62" t="s">
        <v>128</v>
      </c>
      <c r="M575" s="62" t="s">
        <v>47</v>
      </c>
      <c r="N575" s="5">
        <v>0</v>
      </c>
      <c r="O575" s="8">
        <v>0</v>
      </c>
      <c r="P575" s="69">
        <v>86000</v>
      </c>
      <c r="Q575" s="69">
        <v>143000</v>
      </c>
      <c r="R575" s="69">
        <v>114500</v>
      </c>
      <c r="S575" s="62" t="s">
        <v>138</v>
      </c>
      <c r="T575" s="8">
        <f t="shared" si="29"/>
        <v>27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62" t="s">
        <v>49</v>
      </c>
      <c r="AL575" s="62" t="s">
        <v>50</v>
      </c>
      <c r="AM575" s="62" t="s">
        <v>77</v>
      </c>
      <c r="AN575" s="5"/>
      <c r="AO575" s="7"/>
    </row>
    <row r="576" spans="1:41" ht="15.75" customHeight="1" x14ac:dyDescent="0.25">
      <c r="A576" s="4">
        <v>575</v>
      </c>
      <c r="B576" s="5" t="s">
        <v>39</v>
      </c>
      <c r="C576" s="58">
        <v>4.3</v>
      </c>
      <c r="D576" s="61" t="s">
        <v>293</v>
      </c>
      <c r="E576" s="72" t="s">
        <v>79</v>
      </c>
      <c r="F576" s="62" t="s">
        <v>80</v>
      </c>
      <c r="G576" s="8" t="s">
        <v>88</v>
      </c>
      <c r="H576" s="8">
        <v>2011</v>
      </c>
      <c r="I576" s="62" t="s">
        <v>44</v>
      </c>
      <c r="J576" s="62" t="s">
        <v>100</v>
      </c>
      <c r="K576" s="62" t="s">
        <v>65</v>
      </c>
      <c r="L576" s="62" t="s">
        <v>180</v>
      </c>
      <c r="M576" s="62" t="s">
        <v>47</v>
      </c>
      <c r="N576" s="5">
        <v>0</v>
      </c>
      <c r="O576" s="8">
        <v>0</v>
      </c>
      <c r="P576" s="69">
        <v>84000</v>
      </c>
      <c r="Q576" s="69">
        <v>146000</v>
      </c>
      <c r="R576" s="69">
        <v>115000</v>
      </c>
      <c r="S576" s="62" t="s">
        <v>85</v>
      </c>
      <c r="T576" s="8">
        <f t="shared" si="29"/>
        <v>12</v>
      </c>
      <c r="U576" s="8">
        <v>1</v>
      </c>
      <c r="V576" s="8">
        <v>1</v>
      </c>
      <c r="W576" s="8">
        <v>1</v>
      </c>
      <c r="X576" s="8">
        <v>0</v>
      </c>
      <c r="Y576" s="8">
        <v>1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1</v>
      </c>
      <c r="AF576" s="8">
        <v>1</v>
      </c>
      <c r="AG576" s="8">
        <v>0</v>
      </c>
      <c r="AH576" s="8">
        <v>0</v>
      </c>
      <c r="AI576" s="8">
        <v>0</v>
      </c>
      <c r="AJ576" s="8">
        <v>0</v>
      </c>
      <c r="AK576" s="62" t="s">
        <v>49</v>
      </c>
      <c r="AL576" s="62" t="s">
        <v>50</v>
      </c>
      <c r="AM576" s="62" t="s">
        <v>77</v>
      </c>
      <c r="AN576" s="5"/>
      <c r="AO576" s="7"/>
    </row>
    <row r="577" spans="1:41" ht="15.75" customHeight="1" x14ac:dyDescent="0.25">
      <c r="A577" s="4">
        <v>576</v>
      </c>
      <c r="B577" s="5" t="s">
        <v>1146</v>
      </c>
      <c r="C577" s="58">
        <v>3.2</v>
      </c>
      <c r="D577" s="61" t="s">
        <v>314</v>
      </c>
      <c r="E577" s="72" t="s">
        <v>750</v>
      </c>
      <c r="F577" s="62" t="s">
        <v>316</v>
      </c>
      <c r="G577" s="8">
        <v>500</v>
      </c>
      <c r="H577" s="8" t="s">
        <v>47</v>
      </c>
      <c r="I577" s="62" t="s">
        <v>44</v>
      </c>
      <c r="J577" s="62" t="s">
        <v>317</v>
      </c>
      <c r="K577" s="62" t="s">
        <v>65</v>
      </c>
      <c r="L577" s="62" t="s">
        <v>318</v>
      </c>
      <c r="M577" s="62" t="s">
        <v>47</v>
      </c>
      <c r="N577" s="5">
        <v>0</v>
      </c>
      <c r="O577" s="8">
        <v>0</v>
      </c>
      <c r="P577" s="69">
        <v>50000</v>
      </c>
      <c r="Q577" s="69">
        <v>98000</v>
      </c>
      <c r="R577" s="69">
        <v>74000</v>
      </c>
      <c r="S577" s="62" t="s">
        <v>305</v>
      </c>
      <c r="T577" s="8" t="s">
        <v>47</v>
      </c>
      <c r="U577" s="8">
        <v>1</v>
      </c>
      <c r="V577" s="8">
        <v>0</v>
      </c>
      <c r="W577" s="8">
        <v>1</v>
      </c>
      <c r="X577" s="8">
        <v>0</v>
      </c>
      <c r="Y577" s="8">
        <v>1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62" t="s">
        <v>486</v>
      </c>
      <c r="AL577" s="62" t="s">
        <v>50</v>
      </c>
      <c r="AM577" s="62" t="s">
        <v>51</v>
      </c>
      <c r="AN577" s="5"/>
      <c r="AO577" s="7"/>
    </row>
    <row r="578" spans="1:41" ht="15.75" customHeight="1" x14ac:dyDescent="0.25">
      <c r="A578" s="4">
        <v>577</v>
      </c>
      <c r="B578" s="5" t="s">
        <v>916</v>
      </c>
      <c r="C578" s="58">
        <v>4.7</v>
      </c>
      <c r="D578" s="61" t="s">
        <v>917</v>
      </c>
      <c r="E578" s="72" t="s">
        <v>918</v>
      </c>
      <c r="F578" s="62" t="s">
        <v>919</v>
      </c>
      <c r="G578" s="8" t="s">
        <v>81</v>
      </c>
      <c r="H578" s="8">
        <v>1972</v>
      </c>
      <c r="I578" s="62" t="s">
        <v>44</v>
      </c>
      <c r="J578" s="62" t="s">
        <v>477</v>
      </c>
      <c r="K578" s="62" t="s">
        <v>65</v>
      </c>
      <c r="L578" s="62" t="s">
        <v>180</v>
      </c>
      <c r="M578" s="62" t="s">
        <v>47</v>
      </c>
      <c r="N578" s="5">
        <v>0</v>
      </c>
      <c r="O578" s="8">
        <v>0</v>
      </c>
      <c r="P578" s="69">
        <v>38000</v>
      </c>
      <c r="Q578" s="69">
        <v>64000</v>
      </c>
      <c r="R578" s="69">
        <v>51000</v>
      </c>
      <c r="S578" s="62" t="s">
        <v>102</v>
      </c>
      <c r="T578" s="8">
        <f t="shared" ref="T578:T582" si="30">2023-H578</f>
        <v>51</v>
      </c>
      <c r="U578" s="8">
        <v>0</v>
      </c>
      <c r="V578" s="8">
        <v>0</v>
      </c>
      <c r="W578" s="8">
        <v>0</v>
      </c>
      <c r="X578" s="8">
        <v>1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62" t="s">
        <v>107</v>
      </c>
      <c r="AL578" s="62" t="s">
        <v>50</v>
      </c>
      <c r="AM578" s="62" t="s">
        <v>77</v>
      </c>
      <c r="AN578" s="5"/>
      <c r="AO578" s="7"/>
    </row>
    <row r="579" spans="1:41" ht="15.75" customHeight="1" x14ac:dyDescent="0.25">
      <c r="A579" s="4">
        <v>578</v>
      </c>
      <c r="B579" s="5" t="s">
        <v>923</v>
      </c>
      <c r="C579" s="58">
        <v>3.4</v>
      </c>
      <c r="D579" s="61" t="s">
        <v>924</v>
      </c>
      <c r="E579" s="72" t="s">
        <v>925</v>
      </c>
      <c r="F579" s="62" t="s">
        <v>926</v>
      </c>
      <c r="G579" s="8" t="s">
        <v>43</v>
      </c>
      <c r="H579" s="8">
        <v>1981</v>
      </c>
      <c r="I579" s="62" t="s">
        <v>89</v>
      </c>
      <c r="J579" s="62" t="s">
        <v>58</v>
      </c>
      <c r="K579" s="62" t="s">
        <v>59</v>
      </c>
      <c r="L579" s="62" t="s">
        <v>83</v>
      </c>
      <c r="M579" s="62" t="s">
        <v>47</v>
      </c>
      <c r="N579" s="5">
        <v>0</v>
      </c>
      <c r="O579" s="8">
        <v>0</v>
      </c>
      <c r="P579" s="69">
        <v>90000</v>
      </c>
      <c r="Q579" s="69">
        <v>110000</v>
      </c>
      <c r="R579" s="69">
        <v>100000</v>
      </c>
      <c r="S579" s="62" t="s">
        <v>436</v>
      </c>
      <c r="T579" s="8">
        <f t="shared" si="30"/>
        <v>42</v>
      </c>
      <c r="U579" s="8">
        <v>0</v>
      </c>
      <c r="V579" s="8">
        <v>0</v>
      </c>
      <c r="W579" s="8">
        <v>0</v>
      </c>
      <c r="X579" s="8">
        <v>0</v>
      </c>
      <c r="Y579" s="8">
        <v>1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1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62" t="s">
        <v>146</v>
      </c>
      <c r="AL579" s="62" t="s">
        <v>169</v>
      </c>
      <c r="AM579" s="62" t="s">
        <v>77</v>
      </c>
      <c r="AN579" s="5"/>
      <c r="AO579" s="7"/>
    </row>
    <row r="580" spans="1:41" ht="15.75" customHeight="1" x14ac:dyDescent="0.25">
      <c r="A580" s="4">
        <v>579</v>
      </c>
      <c r="B580" s="5" t="s">
        <v>1147</v>
      </c>
      <c r="C580" s="58">
        <v>3.8</v>
      </c>
      <c r="D580" s="61" t="s">
        <v>202</v>
      </c>
      <c r="E580" s="72" t="s">
        <v>134</v>
      </c>
      <c r="F580" s="62" t="s">
        <v>203</v>
      </c>
      <c r="G580" s="8" t="s">
        <v>56</v>
      </c>
      <c r="H580" s="8">
        <v>1996</v>
      </c>
      <c r="I580" s="62" t="s">
        <v>89</v>
      </c>
      <c r="J580" s="62" t="s">
        <v>136</v>
      </c>
      <c r="K580" s="62" t="s">
        <v>136</v>
      </c>
      <c r="L580" s="62" t="s">
        <v>128</v>
      </c>
      <c r="M580" s="62" t="s">
        <v>47</v>
      </c>
      <c r="N580" s="5">
        <v>0</v>
      </c>
      <c r="O580" s="8">
        <v>0</v>
      </c>
      <c r="P580" s="69">
        <v>92000</v>
      </c>
      <c r="Q580" s="69">
        <v>150000</v>
      </c>
      <c r="R580" s="69">
        <v>121000</v>
      </c>
      <c r="S580" s="62" t="s">
        <v>138</v>
      </c>
      <c r="T580" s="8">
        <f t="shared" si="30"/>
        <v>27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62" t="s">
        <v>49</v>
      </c>
      <c r="AL580" s="62" t="s">
        <v>169</v>
      </c>
      <c r="AM580" s="62" t="s">
        <v>77</v>
      </c>
      <c r="AN580" s="5"/>
      <c r="AO580" s="7"/>
    </row>
    <row r="581" spans="1:41" ht="15.75" customHeight="1" x14ac:dyDescent="0.25">
      <c r="A581" s="4">
        <v>580</v>
      </c>
      <c r="B581" s="5" t="s">
        <v>1148</v>
      </c>
      <c r="C581" s="58">
        <v>4.5</v>
      </c>
      <c r="D581" s="61" t="s">
        <v>440</v>
      </c>
      <c r="E581" s="72" t="s">
        <v>98</v>
      </c>
      <c r="F581" s="62" t="s">
        <v>114</v>
      </c>
      <c r="G581" s="8" t="s">
        <v>88</v>
      </c>
      <c r="H581" s="8">
        <v>2006</v>
      </c>
      <c r="I581" s="62" t="s">
        <v>44</v>
      </c>
      <c r="J581" s="62" t="s">
        <v>216</v>
      </c>
      <c r="K581" s="62" t="s">
        <v>111</v>
      </c>
      <c r="L581" s="62" t="s">
        <v>66</v>
      </c>
      <c r="M581" s="62" t="s">
        <v>441</v>
      </c>
      <c r="N581" s="5">
        <v>0</v>
      </c>
      <c r="O581" s="8">
        <v>0</v>
      </c>
      <c r="P581" s="69">
        <v>90000</v>
      </c>
      <c r="Q581" s="69">
        <v>153000</v>
      </c>
      <c r="R581" s="69">
        <v>121500</v>
      </c>
      <c r="S581" s="62" t="s">
        <v>102</v>
      </c>
      <c r="T581" s="8">
        <f t="shared" si="30"/>
        <v>17</v>
      </c>
      <c r="U581" s="8">
        <v>0</v>
      </c>
      <c r="V581" s="8">
        <v>0</v>
      </c>
      <c r="W581" s="8">
        <v>0</v>
      </c>
      <c r="X581" s="8">
        <v>0</v>
      </c>
      <c r="Y581" s="8">
        <v>1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1</v>
      </c>
      <c r="AG581" s="8">
        <v>1</v>
      </c>
      <c r="AH581" s="8">
        <v>0</v>
      </c>
      <c r="AI581" s="8">
        <v>0</v>
      </c>
      <c r="AJ581" s="8">
        <v>0</v>
      </c>
      <c r="AK581" s="62" t="s">
        <v>132</v>
      </c>
      <c r="AL581" s="62" t="s">
        <v>169</v>
      </c>
      <c r="AM581" s="62" t="s">
        <v>77</v>
      </c>
      <c r="AN581" s="5"/>
      <c r="AO581" s="7"/>
    </row>
    <row r="582" spans="1:41" ht="15.75" customHeight="1" x14ac:dyDescent="0.25">
      <c r="A582" s="4">
        <v>581</v>
      </c>
      <c r="B582" s="5" t="s">
        <v>920</v>
      </c>
      <c r="C582" s="58">
        <v>3.1</v>
      </c>
      <c r="D582" s="61" t="s">
        <v>921</v>
      </c>
      <c r="E582" s="72" t="s">
        <v>269</v>
      </c>
      <c r="F582" s="62" t="s">
        <v>922</v>
      </c>
      <c r="G582" s="8" t="s">
        <v>56</v>
      </c>
      <c r="H582" s="8">
        <v>1856</v>
      </c>
      <c r="I582" s="62" t="s">
        <v>44</v>
      </c>
      <c r="J582" s="62" t="s">
        <v>95</v>
      </c>
      <c r="K582" s="62" t="s">
        <v>96</v>
      </c>
      <c r="L582" s="62" t="s">
        <v>128</v>
      </c>
      <c r="M582" s="62" t="s">
        <v>47</v>
      </c>
      <c r="N582" s="5">
        <v>0</v>
      </c>
      <c r="O582" s="8">
        <v>0</v>
      </c>
      <c r="P582" s="69">
        <v>43000</v>
      </c>
      <c r="Q582" s="69">
        <v>82000</v>
      </c>
      <c r="R582" s="69">
        <v>62500</v>
      </c>
      <c r="S582" s="62" t="s">
        <v>138</v>
      </c>
      <c r="T582" s="8">
        <f t="shared" si="30"/>
        <v>167</v>
      </c>
      <c r="U582" s="8">
        <v>1</v>
      </c>
      <c r="V582" s="8">
        <v>0</v>
      </c>
      <c r="W582" s="8">
        <v>0</v>
      </c>
      <c r="X582" s="8">
        <v>1</v>
      </c>
      <c r="Y582" s="8">
        <v>1</v>
      </c>
      <c r="Z582" s="8">
        <v>1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62" t="s">
        <v>49</v>
      </c>
      <c r="AL582" s="62" t="s">
        <v>50</v>
      </c>
      <c r="AM582" s="62" t="s">
        <v>51</v>
      </c>
      <c r="AN582" s="5"/>
      <c r="AO582" s="7"/>
    </row>
    <row r="583" spans="1:41" ht="15.75" customHeight="1" x14ac:dyDescent="0.25">
      <c r="A583" s="4">
        <v>582</v>
      </c>
      <c r="B583" s="5" t="s">
        <v>1149</v>
      </c>
      <c r="C583" s="58">
        <v>0</v>
      </c>
      <c r="D583" s="61" t="s">
        <v>1150</v>
      </c>
      <c r="E583" s="72" t="s">
        <v>134</v>
      </c>
      <c r="F583" s="72" t="s">
        <v>134</v>
      </c>
      <c r="G583" s="8">
        <v>500</v>
      </c>
      <c r="H583" s="8" t="s">
        <v>47</v>
      </c>
      <c r="I583" s="62" t="s">
        <v>57</v>
      </c>
      <c r="J583" s="62" t="s">
        <v>47</v>
      </c>
      <c r="K583" s="62" t="s">
        <v>47</v>
      </c>
      <c r="L583" s="62" t="s">
        <v>83</v>
      </c>
      <c r="M583" s="62" t="s">
        <v>47</v>
      </c>
      <c r="N583" s="5">
        <v>0</v>
      </c>
      <c r="O583" s="8">
        <v>1</v>
      </c>
      <c r="P583" s="69">
        <v>100000</v>
      </c>
      <c r="Q583" s="69">
        <v>135000</v>
      </c>
      <c r="R583" s="69">
        <v>117500</v>
      </c>
      <c r="S583" s="62" t="s">
        <v>138</v>
      </c>
      <c r="T583" s="8" t="s">
        <v>47</v>
      </c>
      <c r="U583" s="8">
        <v>0</v>
      </c>
      <c r="V583" s="8">
        <v>0</v>
      </c>
      <c r="W583" s="8">
        <v>0</v>
      </c>
      <c r="X583" s="8">
        <v>1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62" t="s">
        <v>107</v>
      </c>
      <c r="AL583" s="62" t="s">
        <v>50</v>
      </c>
      <c r="AM583" s="62" t="s">
        <v>108</v>
      </c>
      <c r="AN583" s="5"/>
      <c r="AO583" s="7"/>
    </row>
    <row r="584" spans="1:41" ht="15.75" customHeight="1" x14ac:dyDescent="0.25">
      <c r="A584" s="4">
        <v>583</v>
      </c>
      <c r="B584" s="5" t="s">
        <v>928</v>
      </c>
      <c r="C584" s="58">
        <v>3.9</v>
      </c>
      <c r="D584" s="61" t="s">
        <v>929</v>
      </c>
      <c r="E584" s="72" t="s">
        <v>930</v>
      </c>
      <c r="F584" s="62" t="s">
        <v>930</v>
      </c>
      <c r="G584" s="8" t="s">
        <v>88</v>
      </c>
      <c r="H584" s="8">
        <v>2012</v>
      </c>
      <c r="I584" s="62" t="s">
        <v>44</v>
      </c>
      <c r="J584" s="62" t="s">
        <v>216</v>
      </c>
      <c r="K584" s="62" t="s">
        <v>111</v>
      </c>
      <c r="L584" s="62" t="s">
        <v>83</v>
      </c>
      <c r="M584" s="62" t="s">
        <v>47</v>
      </c>
      <c r="N584" s="5">
        <v>0</v>
      </c>
      <c r="O584" s="8">
        <v>0</v>
      </c>
      <c r="P584" s="69">
        <v>93000</v>
      </c>
      <c r="Q584" s="69">
        <v>151000</v>
      </c>
      <c r="R584" s="69">
        <v>122000</v>
      </c>
      <c r="S584" s="62" t="s">
        <v>67</v>
      </c>
      <c r="T584" s="8">
        <f t="shared" ref="T584:T599" si="31">2023-H584</f>
        <v>11</v>
      </c>
      <c r="U584" s="8">
        <v>1</v>
      </c>
      <c r="V584" s="8">
        <v>0</v>
      </c>
      <c r="W584" s="8">
        <v>1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62" t="s">
        <v>49</v>
      </c>
      <c r="AL584" s="62" t="s">
        <v>169</v>
      </c>
      <c r="AM584" s="62" t="s">
        <v>51</v>
      </c>
      <c r="AN584" s="5"/>
      <c r="AO584" s="7"/>
    </row>
    <row r="585" spans="1:41" ht="15.75" customHeight="1" x14ac:dyDescent="0.25">
      <c r="A585" s="4">
        <v>584</v>
      </c>
      <c r="B585" s="5" t="s">
        <v>224</v>
      </c>
      <c r="C585" s="58">
        <v>4.4000000000000004</v>
      </c>
      <c r="D585" s="61" t="s">
        <v>927</v>
      </c>
      <c r="E585" s="72" t="s">
        <v>118</v>
      </c>
      <c r="F585" s="62" t="s">
        <v>243</v>
      </c>
      <c r="G585" s="8" t="s">
        <v>81</v>
      </c>
      <c r="H585" s="8">
        <v>2004</v>
      </c>
      <c r="I585" s="62" t="s">
        <v>44</v>
      </c>
      <c r="J585" s="62" t="s">
        <v>213</v>
      </c>
      <c r="K585" s="62" t="s">
        <v>111</v>
      </c>
      <c r="L585" s="62" t="s">
        <v>83</v>
      </c>
      <c r="M585" s="62" t="s">
        <v>47</v>
      </c>
      <c r="N585" s="5">
        <v>0</v>
      </c>
      <c r="O585" s="8">
        <v>0</v>
      </c>
      <c r="P585" s="69">
        <v>61000</v>
      </c>
      <c r="Q585" s="69">
        <v>109000</v>
      </c>
      <c r="R585" s="69">
        <v>85000</v>
      </c>
      <c r="S585" s="62" t="s">
        <v>122</v>
      </c>
      <c r="T585" s="8">
        <f t="shared" si="31"/>
        <v>19</v>
      </c>
      <c r="U585" s="8">
        <v>1</v>
      </c>
      <c r="V585" s="8">
        <v>1</v>
      </c>
      <c r="W585" s="8">
        <v>1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1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62" t="s">
        <v>146</v>
      </c>
      <c r="AL585" s="62" t="s">
        <v>50</v>
      </c>
      <c r="AM585" s="62" t="s">
        <v>77</v>
      </c>
      <c r="AN585" s="5"/>
      <c r="AO585" s="7"/>
    </row>
    <row r="586" spans="1:41" ht="15.75" customHeight="1" x14ac:dyDescent="0.25">
      <c r="A586" s="4">
        <v>585</v>
      </c>
      <c r="B586" s="5" t="s">
        <v>224</v>
      </c>
      <c r="C586" s="58">
        <v>3.4</v>
      </c>
      <c r="D586" s="61" t="s">
        <v>1151</v>
      </c>
      <c r="E586" s="72" t="s">
        <v>1152</v>
      </c>
      <c r="F586" s="62" t="s">
        <v>925</v>
      </c>
      <c r="G586" s="8" t="s">
        <v>43</v>
      </c>
      <c r="H586" s="8">
        <v>2002</v>
      </c>
      <c r="I586" s="62" t="s">
        <v>44</v>
      </c>
      <c r="J586" s="62" t="s">
        <v>213</v>
      </c>
      <c r="K586" s="62" t="s">
        <v>111</v>
      </c>
      <c r="L586" s="62" t="s">
        <v>46</v>
      </c>
      <c r="M586" s="62" t="s">
        <v>47</v>
      </c>
      <c r="N586" s="5">
        <v>0</v>
      </c>
      <c r="O586" s="8">
        <v>0</v>
      </c>
      <c r="P586" s="69">
        <v>42000</v>
      </c>
      <c r="Q586" s="69">
        <v>79000</v>
      </c>
      <c r="R586" s="69">
        <v>60500</v>
      </c>
      <c r="S586" s="62" t="s">
        <v>436</v>
      </c>
      <c r="T586" s="8">
        <f t="shared" si="31"/>
        <v>21</v>
      </c>
      <c r="U586" s="8">
        <v>1</v>
      </c>
      <c r="V586" s="8">
        <v>1</v>
      </c>
      <c r="W586" s="8">
        <v>1</v>
      </c>
      <c r="X586" s="8">
        <v>0</v>
      </c>
      <c r="Y586" s="8">
        <v>1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1</v>
      </c>
      <c r="AJ586" s="8">
        <v>0</v>
      </c>
      <c r="AK586" s="62" t="s">
        <v>146</v>
      </c>
      <c r="AL586" s="62" t="s">
        <v>50</v>
      </c>
      <c r="AM586" s="62" t="s">
        <v>77</v>
      </c>
      <c r="AN586" s="5"/>
      <c r="AO586" s="7"/>
    </row>
    <row r="587" spans="1:41" ht="15.75" customHeight="1" x14ac:dyDescent="0.25">
      <c r="A587" s="4">
        <v>586</v>
      </c>
      <c r="B587" s="5" t="s">
        <v>246</v>
      </c>
      <c r="C587" s="58">
        <v>3.9</v>
      </c>
      <c r="D587" s="61" t="s">
        <v>615</v>
      </c>
      <c r="E587" s="72" t="s">
        <v>616</v>
      </c>
      <c r="F587" s="62" t="s">
        <v>616</v>
      </c>
      <c r="G587" s="8" t="s">
        <v>81</v>
      </c>
      <c r="H587" s="8">
        <v>2009</v>
      </c>
      <c r="I587" s="62" t="s">
        <v>44</v>
      </c>
      <c r="J587" s="62" t="s">
        <v>381</v>
      </c>
      <c r="K587" s="62" t="s">
        <v>96</v>
      </c>
      <c r="L587" s="62" t="s">
        <v>46</v>
      </c>
      <c r="M587" s="62" t="s">
        <v>47</v>
      </c>
      <c r="N587" s="5">
        <v>0</v>
      </c>
      <c r="O587" s="8">
        <v>0</v>
      </c>
      <c r="P587" s="69">
        <v>139000</v>
      </c>
      <c r="Q587" s="69">
        <v>221000</v>
      </c>
      <c r="R587" s="69">
        <v>180000</v>
      </c>
      <c r="S587" s="62" t="s">
        <v>102</v>
      </c>
      <c r="T587" s="8">
        <f t="shared" si="31"/>
        <v>14</v>
      </c>
      <c r="U587" s="8">
        <v>1</v>
      </c>
      <c r="V587" s="8">
        <v>0</v>
      </c>
      <c r="W587" s="8">
        <v>0</v>
      </c>
      <c r="X587" s="8">
        <v>1</v>
      </c>
      <c r="Y587" s="8">
        <v>1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62" t="s">
        <v>49</v>
      </c>
      <c r="AL587" s="62" t="s">
        <v>169</v>
      </c>
      <c r="AM587" s="62" t="s">
        <v>51</v>
      </c>
      <c r="AN587" s="5"/>
      <c r="AO587" s="7"/>
    </row>
    <row r="588" spans="1:41" ht="15.75" customHeight="1" x14ac:dyDescent="0.25">
      <c r="A588" s="4">
        <v>587</v>
      </c>
      <c r="B588" s="5" t="s">
        <v>934</v>
      </c>
      <c r="C588" s="58">
        <v>4.7</v>
      </c>
      <c r="D588" s="61" t="s">
        <v>935</v>
      </c>
      <c r="E588" s="72" t="s">
        <v>936</v>
      </c>
      <c r="F588" s="62" t="s">
        <v>936</v>
      </c>
      <c r="G588" s="8" t="s">
        <v>70</v>
      </c>
      <c r="H588" s="8">
        <v>2002</v>
      </c>
      <c r="I588" s="62" t="s">
        <v>44</v>
      </c>
      <c r="J588" s="62" t="s">
        <v>613</v>
      </c>
      <c r="K588" s="62" t="s">
        <v>96</v>
      </c>
      <c r="L588" s="62" t="s">
        <v>83</v>
      </c>
      <c r="M588" s="62" t="s">
        <v>47</v>
      </c>
      <c r="N588" s="5">
        <v>0</v>
      </c>
      <c r="O588" s="8">
        <v>0</v>
      </c>
      <c r="P588" s="69">
        <v>40000</v>
      </c>
      <c r="Q588" s="69">
        <v>101000</v>
      </c>
      <c r="R588" s="69">
        <v>70500</v>
      </c>
      <c r="S588" s="62" t="s">
        <v>288</v>
      </c>
      <c r="T588" s="8">
        <f t="shared" si="31"/>
        <v>21</v>
      </c>
      <c r="U588" s="8">
        <v>0</v>
      </c>
      <c r="V588" s="8">
        <v>1</v>
      </c>
      <c r="W588" s="8">
        <v>0</v>
      </c>
      <c r="X588" s="8">
        <v>1</v>
      </c>
      <c r="Y588" s="8">
        <v>1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1</v>
      </c>
      <c r="AF588" s="8">
        <v>1</v>
      </c>
      <c r="AG588" s="8">
        <v>0</v>
      </c>
      <c r="AH588" s="8">
        <v>0</v>
      </c>
      <c r="AI588" s="8">
        <v>1</v>
      </c>
      <c r="AJ588" s="8">
        <v>0</v>
      </c>
      <c r="AK588" s="62" t="s">
        <v>107</v>
      </c>
      <c r="AL588" s="62" t="s">
        <v>50</v>
      </c>
      <c r="AM588" s="62" t="s">
        <v>77</v>
      </c>
      <c r="AN588" s="5"/>
      <c r="AO588" s="7"/>
    </row>
    <row r="589" spans="1:41" ht="15.75" customHeight="1" x14ac:dyDescent="0.25">
      <c r="A589" s="4">
        <v>588</v>
      </c>
      <c r="B589" s="5" t="s">
        <v>802</v>
      </c>
      <c r="C589" s="58">
        <v>3.3</v>
      </c>
      <c r="D589" s="61" t="s">
        <v>349</v>
      </c>
      <c r="E589" s="72" t="s">
        <v>118</v>
      </c>
      <c r="F589" s="62" t="s">
        <v>119</v>
      </c>
      <c r="G589" s="8" t="s">
        <v>70</v>
      </c>
      <c r="H589" s="8">
        <v>2017</v>
      </c>
      <c r="I589" s="62" t="s">
        <v>44</v>
      </c>
      <c r="J589" s="62" t="s">
        <v>45</v>
      </c>
      <c r="K589" s="62" t="s">
        <v>45</v>
      </c>
      <c r="L589" s="62" t="s">
        <v>91</v>
      </c>
      <c r="M589" s="62" t="s">
        <v>47</v>
      </c>
      <c r="N589" s="5">
        <v>0</v>
      </c>
      <c r="O589" s="8">
        <v>0</v>
      </c>
      <c r="P589" s="69">
        <v>84000</v>
      </c>
      <c r="Q589" s="69">
        <v>153000</v>
      </c>
      <c r="R589" s="69">
        <v>118500</v>
      </c>
      <c r="S589" s="62" t="s">
        <v>122</v>
      </c>
      <c r="T589" s="8">
        <f t="shared" si="31"/>
        <v>6</v>
      </c>
      <c r="U589" s="8">
        <v>1</v>
      </c>
      <c r="V589" s="8">
        <v>1</v>
      </c>
      <c r="W589" s="8">
        <v>0</v>
      </c>
      <c r="X589" s="8">
        <v>0</v>
      </c>
      <c r="Y589" s="8">
        <v>1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1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62" t="s">
        <v>146</v>
      </c>
      <c r="AL589" s="62" t="s">
        <v>50</v>
      </c>
      <c r="AM589" s="62" t="s">
        <v>77</v>
      </c>
      <c r="AN589" s="5"/>
      <c r="AO589" s="7"/>
    </row>
    <row r="590" spans="1:41" ht="15.75" customHeight="1" x14ac:dyDescent="0.25">
      <c r="A590" s="4">
        <v>589</v>
      </c>
      <c r="B590" s="5" t="s">
        <v>931</v>
      </c>
      <c r="C590" s="58">
        <v>3.9</v>
      </c>
      <c r="D590" s="61" t="s">
        <v>932</v>
      </c>
      <c r="E590" s="72" t="s">
        <v>172</v>
      </c>
      <c r="F590" s="62" t="s">
        <v>933</v>
      </c>
      <c r="G590" s="8" t="s">
        <v>43</v>
      </c>
      <c r="H590" s="8">
        <v>1995</v>
      </c>
      <c r="I590" s="62" t="s">
        <v>44</v>
      </c>
      <c r="J590" s="62" t="s">
        <v>155</v>
      </c>
      <c r="K590" s="62" t="s">
        <v>111</v>
      </c>
      <c r="L590" s="62" t="s">
        <v>66</v>
      </c>
      <c r="M590" s="62" t="s">
        <v>47</v>
      </c>
      <c r="N590" s="5">
        <v>0</v>
      </c>
      <c r="O590" s="8">
        <v>0</v>
      </c>
      <c r="P590" s="69">
        <v>52000</v>
      </c>
      <c r="Q590" s="69">
        <v>81000</v>
      </c>
      <c r="R590" s="69">
        <v>66500</v>
      </c>
      <c r="S590" s="62" t="s">
        <v>176</v>
      </c>
      <c r="T590" s="8">
        <f t="shared" si="31"/>
        <v>28</v>
      </c>
      <c r="U590" s="8">
        <v>1</v>
      </c>
      <c r="V590" s="8">
        <v>0</v>
      </c>
      <c r="W590" s="8">
        <v>0</v>
      </c>
      <c r="X590" s="8">
        <v>0</v>
      </c>
      <c r="Y590" s="8">
        <v>1</v>
      </c>
      <c r="Z590" s="8">
        <v>1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1</v>
      </c>
      <c r="AG590" s="8">
        <v>1</v>
      </c>
      <c r="AH590" s="8">
        <v>0</v>
      </c>
      <c r="AI590" s="8">
        <v>0</v>
      </c>
      <c r="AJ590" s="8">
        <v>0</v>
      </c>
      <c r="AK590" s="62" t="s">
        <v>1291</v>
      </c>
      <c r="AL590" s="62" t="s">
        <v>50</v>
      </c>
      <c r="AM590" s="62" t="s">
        <v>51</v>
      </c>
      <c r="AN590" s="5"/>
      <c r="AO590" s="7"/>
    </row>
    <row r="591" spans="1:41" ht="15.75" customHeight="1" x14ac:dyDescent="0.25">
      <c r="A591" s="4">
        <v>590</v>
      </c>
      <c r="B591" s="5" t="s">
        <v>938</v>
      </c>
      <c r="C591" s="58">
        <v>3.4</v>
      </c>
      <c r="D591" s="61" t="s">
        <v>510</v>
      </c>
      <c r="E591" s="72" t="s">
        <v>269</v>
      </c>
      <c r="F591" s="62" t="s">
        <v>511</v>
      </c>
      <c r="G591" s="8" t="s">
        <v>70</v>
      </c>
      <c r="H591" s="8">
        <v>1943</v>
      </c>
      <c r="I591" s="62" t="s">
        <v>44</v>
      </c>
      <c r="J591" s="62" t="s">
        <v>100</v>
      </c>
      <c r="K591" s="62" t="s">
        <v>65</v>
      </c>
      <c r="L591" s="62" t="s">
        <v>66</v>
      </c>
      <c r="M591" s="62" t="s">
        <v>512</v>
      </c>
      <c r="N591" s="5">
        <v>0</v>
      </c>
      <c r="O591" s="8">
        <v>0</v>
      </c>
      <c r="P591" s="69">
        <v>81000</v>
      </c>
      <c r="Q591" s="69">
        <v>134000</v>
      </c>
      <c r="R591" s="69">
        <v>107500</v>
      </c>
      <c r="S591" s="62" t="s">
        <v>138</v>
      </c>
      <c r="T591" s="8">
        <f t="shared" si="31"/>
        <v>80</v>
      </c>
      <c r="U591" s="8">
        <v>0</v>
      </c>
      <c r="V591" s="8">
        <v>1</v>
      </c>
      <c r="W591" s="8">
        <v>0</v>
      </c>
      <c r="X591" s="8">
        <v>1</v>
      </c>
      <c r="Y591" s="8">
        <v>1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1</v>
      </c>
      <c r="AF591" s="8">
        <v>1</v>
      </c>
      <c r="AG591" s="8">
        <v>0</v>
      </c>
      <c r="AH591" s="8">
        <v>0</v>
      </c>
      <c r="AI591" s="8">
        <v>1</v>
      </c>
      <c r="AJ591" s="8">
        <v>0</v>
      </c>
      <c r="AK591" s="62" t="s">
        <v>49</v>
      </c>
      <c r="AL591" s="62" t="s">
        <v>50</v>
      </c>
      <c r="AM591" s="62" t="s">
        <v>77</v>
      </c>
      <c r="AN591" s="5"/>
      <c r="AO591" s="7"/>
    </row>
    <row r="592" spans="1:41" ht="15.75" customHeight="1" x14ac:dyDescent="0.25">
      <c r="A592" s="4">
        <v>591</v>
      </c>
      <c r="B592" s="5" t="s">
        <v>464</v>
      </c>
      <c r="C592" s="58">
        <v>4.7</v>
      </c>
      <c r="D592" s="61" t="s">
        <v>937</v>
      </c>
      <c r="E592" s="72" t="s">
        <v>732</v>
      </c>
      <c r="F592" s="62" t="s">
        <v>732</v>
      </c>
      <c r="G592" s="8" t="s">
        <v>81</v>
      </c>
      <c r="H592" s="8">
        <v>2010</v>
      </c>
      <c r="I592" s="62" t="s">
        <v>44</v>
      </c>
      <c r="J592" s="62" t="s">
        <v>64</v>
      </c>
      <c r="K592" s="62" t="s">
        <v>65</v>
      </c>
      <c r="L592" s="62" t="s">
        <v>180</v>
      </c>
      <c r="M592" s="62" t="s">
        <v>47</v>
      </c>
      <c r="N592" s="5">
        <v>0</v>
      </c>
      <c r="O592" s="8">
        <v>0</v>
      </c>
      <c r="P592" s="69">
        <v>97000</v>
      </c>
      <c r="Q592" s="69">
        <v>180000</v>
      </c>
      <c r="R592" s="69">
        <v>138500</v>
      </c>
      <c r="S592" s="62" t="s">
        <v>93</v>
      </c>
      <c r="T592" s="8">
        <f t="shared" si="31"/>
        <v>13</v>
      </c>
      <c r="U592" s="8">
        <v>1</v>
      </c>
      <c r="V592" s="8">
        <v>1</v>
      </c>
      <c r="W592" s="8">
        <v>0</v>
      </c>
      <c r="X592" s="8">
        <v>0</v>
      </c>
      <c r="Y592" s="8">
        <v>1</v>
      </c>
      <c r="Z592" s="8">
        <v>0</v>
      </c>
      <c r="AA592" s="8">
        <v>0</v>
      </c>
      <c r="AB592" s="8">
        <v>0</v>
      </c>
      <c r="AC592" s="8">
        <v>0</v>
      </c>
      <c r="AD592" s="8">
        <v>1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62" t="s">
        <v>146</v>
      </c>
      <c r="AL592" s="62" t="s">
        <v>169</v>
      </c>
      <c r="AM592" s="62" t="s">
        <v>77</v>
      </c>
      <c r="AN592" s="5"/>
      <c r="AO592" s="7"/>
    </row>
    <row r="593" spans="1:41" ht="15.75" customHeight="1" x14ac:dyDescent="0.25">
      <c r="A593" s="4">
        <v>592</v>
      </c>
      <c r="B593" s="5" t="s">
        <v>941</v>
      </c>
      <c r="C593" s="58">
        <v>2.7</v>
      </c>
      <c r="D593" s="61" t="s">
        <v>673</v>
      </c>
      <c r="E593" s="72" t="s">
        <v>454</v>
      </c>
      <c r="F593" s="62" t="s">
        <v>454</v>
      </c>
      <c r="G593" s="8" t="s">
        <v>88</v>
      </c>
      <c r="H593" s="8">
        <v>1961</v>
      </c>
      <c r="I593" s="62" t="s">
        <v>44</v>
      </c>
      <c r="J593" s="62" t="s">
        <v>136</v>
      </c>
      <c r="K593" s="62" t="s">
        <v>136</v>
      </c>
      <c r="L593" s="62" t="s">
        <v>101</v>
      </c>
      <c r="M593" s="62" t="s">
        <v>47</v>
      </c>
      <c r="N593" s="5">
        <v>0</v>
      </c>
      <c r="O593" s="8">
        <v>0</v>
      </c>
      <c r="P593" s="69">
        <v>49000</v>
      </c>
      <c r="Q593" s="69">
        <v>113000</v>
      </c>
      <c r="R593" s="69">
        <v>81000</v>
      </c>
      <c r="S593" s="62" t="s">
        <v>61</v>
      </c>
      <c r="T593" s="8">
        <f t="shared" si="31"/>
        <v>62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62" t="s">
        <v>107</v>
      </c>
      <c r="AL593" s="62" t="s">
        <v>50</v>
      </c>
      <c r="AM593" s="62" t="s">
        <v>77</v>
      </c>
      <c r="AN593" s="5"/>
      <c r="AO593" s="7"/>
    </row>
    <row r="594" spans="1:41" ht="15.75" customHeight="1" x14ac:dyDescent="0.25">
      <c r="A594" s="4">
        <v>593</v>
      </c>
      <c r="B594" s="5" t="s">
        <v>1153</v>
      </c>
      <c r="C594" s="58">
        <v>3.8</v>
      </c>
      <c r="D594" s="61" t="s">
        <v>1154</v>
      </c>
      <c r="E594" s="72" t="s">
        <v>1155</v>
      </c>
      <c r="F594" s="62" t="s">
        <v>1155</v>
      </c>
      <c r="G594" s="8" t="s">
        <v>70</v>
      </c>
      <c r="H594" s="8">
        <v>1925</v>
      </c>
      <c r="I594" s="62" t="s">
        <v>44</v>
      </c>
      <c r="J594" s="62" t="s">
        <v>161</v>
      </c>
      <c r="K594" s="62" t="s">
        <v>162</v>
      </c>
      <c r="L594" s="62" t="s">
        <v>60</v>
      </c>
      <c r="M594" s="62" t="s">
        <v>1156</v>
      </c>
      <c r="N594" s="5">
        <v>0</v>
      </c>
      <c r="O594" s="8">
        <v>0</v>
      </c>
      <c r="P594" s="69">
        <v>44000</v>
      </c>
      <c r="Q594" s="69">
        <v>73000</v>
      </c>
      <c r="R594" s="69">
        <v>58500</v>
      </c>
      <c r="S594" s="62" t="s">
        <v>176</v>
      </c>
      <c r="T594" s="8">
        <f t="shared" si="31"/>
        <v>98</v>
      </c>
      <c r="U594" s="8">
        <v>1</v>
      </c>
      <c r="V594" s="8">
        <v>1</v>
      </c>
      <c r="W594" s="8">
        <v>0</v>
      </c>
      <c r="X594" s="8">
        <v>1</v>
      </c>
      <c r="Y594" s="8">
        <v>1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1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62" t="s">
        <v>146</v>
      </c>
      <c r="AL594" s="62" t="s">
        <v>50</v>
      </c>
      <c r="AM594" s="62" t="s">
        <v>51</v>
      </c>
      <c r="AN594" s="5"/>
      <c r="AO594" s="7"/>
    </row>
    <row r="595" spans="1:41" ht="15.75" customHeight="1" x14ac:dyDescent="0.25">
      <c r="A595" s="4">
        <v>594</v>
      </c>
      <c r="B595" s="5" t="s">
        <v>674</v>
      </c>
      <c r="C595" s="58">
        <v>3.4</v>
      </c>
      <c r="D595" s="61" t="s">
        <v>675</v>
      </c>
      <c r="E595" s="72" t="s">
        <v>172</v>
      </c>
      <c r="F595" s="62" t="s">
        <v>172</v>
      </c>
      <c r="G595" s="8" t="s">
        <v>70</v>
      </c>
      <c r="H595" s="8">
        <v>2005</v>
      </c>
      <c r="I595" s="62" t="s">
        <v>89</v>
      </c>
      <c r="J595" s="62" t="s">
        <v>676</v>
      </c>
      <c r="K595" s="62" t="s">
        <v>175</v>
      </c>
      <c r="L595" s="62" t="s">
        <v>60</v>
      </c>
      <c r="M595" s="62" t="s">
        <v>677</v>
      </c>
      <c r="N595" s="5">
        <v>0</v>
      </c>
      <c r="O595" s="8">
        <v>0</v>
      </c>
      <c r="P595" s="69">
        <v>75000</v>
      </c>
      <c r="Q595" s="69">
        <v>140000</v>
      </c>
      <c r="R595" s="69">
        <v>107500</v>
      </c>
      <c r="S595" s="62" t="s">
        <v>176</v>
      </c>
      <c r="T595" s="8">
        <f t="shared" si="31"/>
        <v>18</v>
      </c>
      <c r="U595" s="8">
        <v>0</v>
      </c>
      <c r="V595" s="8">
        <v>0</v>
      </c>
      <c r="W595" s="8">
        <v>0</v>
      </c>
      <c r="X595" s="8">
        <v>0</v>
      </c>
      <c r="Y595" s="8">
        <v>1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62" t="s">
        <v>146</v>
      </c>
      <c r="AL595" s="62" t="s">
        <v>169</v>
      </c>
      <c r="AM595" s="62" t="s">
        <v>77</v>
      </c>
      <c r="AN595" s="5"/>
      <c r="AO595" s="7"/>
    </row>
    <row r="596" spans="1:41" ht="15.75" customHeight="1" x14ac:dyDescent="0.25">
      <c r="A596" s="4">
        <v>595</v>
      </c>
      <c r="B596" s="5" t="s">
        <v>939</v>
      </c>
      <c r="C596" s="58">
        <v>3.8</v>
      </c>
      <c r="D596" s="61" t="s">
        <v>940</v>
      </c>
      <c r="E596" s="72" t="s">
        <v>134</v>
      </c>
      <c r="F596" s="62" t="s">
        <v>134</v>
      </c>
      <c r="G596" s="8" t="s">
        <v>43</v>
      </c>
      <c r="H596" s="8">
        <v>2008</v>
      </c>
      <c r="I596" s="62" t="s">
        <v>89</v>
      </c>
      <c r="J596" s="62" t="s">
        <v>136</v>
      </c>
      <c r="K596" s="62" t="s">
        <v>136</v>
      </c>
      <c r="L596" s="62" t="s">
        <v>46</v>
      </c>
      <c r="M596" s="62" t="s">
        <v>47</v>
      </c>
      <c r="N596" s="5">
        <v>0</v>
      </c>
      <c r="O596" s="8">
        <v>0</v>
      </c>
      <c r="P596" s="69">
        <v>84000</v>
      </c>
      <c r="Q596" s="69">
        <v>157000</v>
      </c>
      <c r="R596" s="69">
        <v>120500</v>
      </c>
      <c r="S596" s="62" t="s">
        <v>138</v>
      </c>
      <c r="T596" s="8">
        <f t="shared" si="31"/>
        <v>15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1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62" t="s">
        <v>107</v>
      </c>
      <c r="AL596" s="62" t="s">
        <v>50</v>
      </c>
      <c r="AM596" s="62" t="s">
        <v>51</v>
      </c>
      <c r="AN596" s="5"/>
      <c r="AO596" s="7"/>
    </row>
    <row r="597" spans="1:41" ht="15.75" customHeight="1" x14ac:dyDescent="0.25">
      <c r="A597" s="4">
        <v>596</v>
      </c>
      <c r="B597" s="5" t="s">
        <v>1157</v>
      </c>
      <c r="C597" s="58">
        <v>3.9</v>
      </c>
      <c r="D597" s="61" t="s">
        <v>638</v>
      </c>
      <c r="E597" s="72" t="s">
        <v>98</v>
      </c>
      <c r="F597" s="62" t="s">
        <v>114</v>
      </c>
      <c r="G597" s="8" t="s">
        <v>88</v>
      </c>
      <c r="H597" s="8">
        <v>2007</v>
      </c>
      <c r="I597" s="62" t="s">
        <v>44</v>
      </c>
      <c r="J597" s="62" t="s">
        <v>110</v>
      </c>
      <c r="K597" s="62" t="s">
        <v>111</v>
      </c>
      <c r="L597" s="62" t="s">
        <v>180</v>
      </c>
      <c r="M597" s="62" t="s">
        <v>639</v>
      </c>
      <c r="N597" s="5">
        <v>0</v>
      </c>
      <c r="O597" s="8">
        <v>0</v>
      </c>
      <c r="P597" s="69">
        <v>40000</v>
      </c>
      <c r="Q597" s="69">
        <v>87000</v>
      </c>
      <c r="R597" s="69">
        <v>63500</v>
      </c>
      <c r="S597" s="62" t="s">
        <v>102</v>
      </c>
      <c r="T597" s="8">
        <f t="shared" si="31"/>
        <v>16</v>
      </c>
      <c r="U597" s="8">
        <v>1</v>
      </c>
      <c r="V597" s="8">
        <v>1</v>
      </c>
      <c r="W597" s="8">
        <v>0</v>
      </c>
      <c r="X597" s="8">
        <v>0</v>
      </c>
      <c r="Y597" s="8">
        <v>1</v>
      </c>
      <c r="Z597" s="8">
        <v>0</v>
      </c>
      <c r="AA597" s="8">
        <v>0</v>
      </c>
      <c r="AB597" s="8">
        <v>0</v>
      </c>
      <c r="AC597" s="8">
        <v>1</v>
      </c>
      <c r="AD597" s="8">
        <v>1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62" t="s">
        <v>49</v>
      </c>
      <c r="AL597" s="62" t="s">
        <v>50</v>
      </c>
      <c r="AM597" s="62" t="s">
        <v>77</v>
      </c>
      <c r="AN597" s="5"/>
      <c r="AO597" s="7"/>
    </row>
    <row r="598" spans="1:41" ht="15.75" customHeight="1" x14ac:dyDescent="0.25">
      <c r="A598" s="4">
        <v>597</v>
      </c>
      <c r="B598" s="5" t="s">
        <v>942</v>
      </c>
      <c r="C598" s="58">
        <v>3.1</v>
      </c>
      <c r="D598" s="61" t="s">
        <v>833</v>
      </c>
      <c r="E598" s="72" t="s">
        <v>834</v>
      </c>
      <c r="F598" s="62" t="s">
        <v>835</v>
      </c>
      <c r="G598" s="8" t="s">
        <v>120</v>
      </c>
      <c r="H598" s="8">
        <v>1875</v>
      </c>
      <c r="I598" s="62" t="s">
        <v>44</v>
      </c>
      <c r="J598" s="62" t="s">
        <v>499</v>
      </c>
      <c r="K598" s="62" t="s">
        <v>427</v>
      </c>
      <c r="L598" s="62" t="s">
        <v>128</v>
      </c>
      <c r="M598" s="62" t="s">
        <v>47</v>
      </c>
      <c r="N598" s="5">
        <v>0</v>
      </c>
      <c r="O598" s="8">
        <v>0</v>
      </c>
      <c r="P598" s="69">
        <v>68000</v>
      </c>
      <c r="Q598" s="69">
        <v>139000</v>
      </c>
      <c r="R598" s="69">
        <v>103500</v>
      </c>
      <c r="S598" s="62" t="s">
        <v>181</v>
      </c>
      <c r="T598" s="8">
        <f t="shared" si="31"/>
        <v>148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62" t="s">
        <v>107</v>
      </c>
      <c r="AL598" s="62" t="s">
        <v>50</v>
      </c>
      <c r="AM598" s="62" t="s">
        <v>77</v>
      </c>
      <c r="AN598" s="5"/>
      <c r="AO598" s="7"/>
    </row>
    <row r="599" spans="1:41" ht="15.75" customHeight="1" x14ac:dyDescent="0.25">
      <c r="A599" s="4">
        <v>598</v>
      </c>
      <c r="B599" s="5" t="s">
        <v>1158</v>
      </c>
      <c r="C599" s="58">
        <v>4.0999999999999996</v>
      </c>
      <c r="D599" s="61" t="s">
        <v>1159</v>
      </c>
      <c r="E599" s="72" t="s">
        <v>222</v>
      </c>
      <c r="F599" s="62" t="s">
        <v>1160</v>
      </c>
      <c r="G599" s="8" t="s">
        <v>120</v>
      </c>
      <c r="H599" s="8">
        <v>1981</v>
      </c>
      <c r="I599" s="62" t="s">
        <v>89</v>
      </c>
      <c r="J599" s="62" t="s">
        <v>216</v>
      </c>
      <c r="K599" s="62" t="s">
        <v>111</v>
      </c>
      <c r="L599" s="62" t="s">
        <v>91</v>
      </c>
      <c r="M599" s="62" t="s">
        <v>1161</v>
      </c>
      <c r="N599" s="5">
        <v>0</v>
      </c>
      <c r="O599" s="8">
        <v>0</v>
      </c>
      <c r="P599" s="69">
        <v>72000</v>
      </c>
      <c r="Q599" s="69">
        <v>142000</v>
      </c>
      <c r="R599" s="69">
        <v>107000</v>
      </c>
      <c r="S599" s="62" t="s">
        <v>102</v>
      </c>
      <c r="T599" s="8">
        <f t="shared" si="31"/>
        <v>42</v>
      </c>
      <c r="U599" s="8">
        <v>1</v>
      </c>
      <c r="V599" s="8">
        <v>0</v>
      </c>
      <c r="W599" s="8">
        <v>0</v>
      </c>
      <c r="X599" s="8">
        <v>1</v>
      </c>
      <c r="Y599" s="8">
        <v>0</v>
      </c>
      <c r="Z599" s="8">
        <v>0</v>
      </c>
      <c r="AA599" s="8">
        <v>1</v>
      </c>
      <c r="AB599" s="8">
        <v>0</v>
      </c>
      <c r="AC599" s="8">
        <v>0</v>
      </c>
      <c r="AD599" s="8">
        <v>1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62" t="s">
        <v>49</v>
      </c>
      <c r="AL599" s="62" t="s">
        <v>50</v>
      </c>
      <c r="AM599" s="62" t="s">
        <v>77</v>
      </c>
      <c r="AN599" s="5"/>
      <c r="AO599" s="7"/>
    </row>
    <row r="600" spans="1:41" ht="15.75" customHeight="1" x14ac:dyDescent="0.25">
      <c r="A600" s="4">
        <v>599</v>
      </c>
      <c r="B600" s="5" t="s">
        <v>224</v>
      </c>
      <c r="C600" s="58">
        <v>3.7</v>
      </c>
      <c r="D600" s="61" t="s">
        <v>1162</v>
      </c>
      <c r="E600" s="72" t="s">
        <v>1001</v>
      </c>
      <c r="F600" s="62" t="s">
        <v>1163</v>
      </c>
      <c r="G600" s="8" t="s">
        <v>120</v>
      </c>
      <c r="H600" s="8" t="s">
        <v>47</v>
      </c>
      <c r="I600" s="62" t="s">
        <v>89</v>
      </c>
      <c r="J600" s="62" t="s">
        <v>45</v>
      </c>
      <c r="K600" s="62" t="s">
        <v>45</v>
      </c>
      <c r="L600" s="62" t="s">
        <v>60</v>
      </c>
      <c r="M600" s="62" t="s">
        <v>47</v>
      </c>
      <c r="N600" s="5">
        <v>0</v>
      </c>
      <c r="O600" s="8">
        <v>0</v>
      </c>
      <c r="P600" s="69">
        <v>74000</v>
      </c>
      <c r="Q600" s="69">
        <v>137000</v>
      </c>
      <c r="R600" s="69">
        <v>105500</v>
      </c>
      <c r="S600" s="62" t="s">
        <v>122</v>
      </c>
      <c r="T600" s="8" t="s">
        <v>47</v>
      </c>
      <c r="U600" s="8">
        <v>1</v>
      </c>
      <c r="V600" s="8">
        <v>1</v>
      </c>
      <c r="W600" s="8">
        <v>0</v>
      </c>
      <c r="X600" s="8">
        <v>0</v>
      </c>
      <c r="Y600" s="8">
        <v>1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1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62" t="s">
        <v>146</v>
      </c>
      <c r="AL600" s="62" t="s">
        <v>50</v>
      </c>
      <c r="AM600" s="62" t="s">
        <v>77</v>
      </c>
      <c r="AN600" s="5"/>
      <c r="AO600" s="7"/>
    </row>
    <row r="601" spans="1:41" ht="15.75" customHeight="1" x14ac:dyDescent="0.25">
      <c r="A601" s="4">
        <v>600</v>
      </c>
      <c r="B601" s="5" t="s">
        <v>224</v>
      </c>
      <c r="C601" s="58">
        <v>2.8</v>
      </c>
      <c r="D601" s="61" t="s">
        <v>1164</v>
      </c>
      <c r="E601" s="72" t="s">
        <v>98</v>
      </c>
      <c r="F601" s="62" t="s">
        <v>335</v>
      </c>
      <c r="G601" s="8" t="s">
        <v>43</v>
      </c>
      <c r="H601" s="8">
        <v>1972</v>
      </c>
      <c r="I601" s="62" t="s">
        <v>44</v>
      </c>
      <c r="J601" s="62" t="s">
        <v>161</v>
      </c>
      <c r="K601" s="62" t="s">
        <v>162</v>
      </c>
      <c r="L601" s="62" t="s">
        <v>74</v>
      </c>
      <c r="M601" s="62" t="s">
        <v>1165</v>
      </c>
      <c r="N601" s="5">
        <v>0</v>
      </c>
      <c r="O601" s="8">
        <v>0</v>
      </c>
      <c r="P601" s="69">
        <v>57000</v>
      </c>
      <c r="Q601" s="69">
        <v>109000</v>
      </c>
      <c r="R601" s="69">
        <v>83000</v>
      </c>
      <c r="S601" s="62" t="s">
        <v>102</v>
      </c>
      <c r="T601" s="8">
        <f t="shared" ref="T601:T604" si="32">2023-H601</f>
        <v>51</v>
      </c>
      <c r="U601" s="8">
        <v>0</v>
      </c>
      <c r="V601" s="8">
        <v>0</v>
      </c>
      <c r="W601" s="8">
        <v>0</v>
      </c>
      <c r="X601" s="8">
        <v>0</v>
      </c>
      <c r="Y601" s="8">
        <v>1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1</v>
      </c>
      <c r="AG601" s="8">
        <v>1</v>
      </c>
      <c r="AH601" s="8">
        <v>0</v>
      </c>
      <c r="AI601" s="8">
        <v>0</v>
      </c>
      <c r="AJ601" s="8">
        <v>0</v>
      </c>
      <c r="AK601" s="62" t="s">
        <v>146</v>
      </c>
      <c r="AL601" s="62" t="s">
        <v>50</v>
      </c>
      <c r="AM601" s="62" t="s">
        <v>77</v>
      </c>
      <c r="AN601" s="5"/>
      <c r="AO601" s="7"/>
    </row>
    <row r="602" spans="1:41" ht="15.75" customHeight="1" x14ac:dyDescent="0.25">
      <c r="A602" s="4">
        <v>601</v>
      </c>
      <c r="B602" s="5" t="s">
        <v>943</v>
      </c>
      <c r="C602" s="58">
        <v>4</v>
      </c>
      <c r="D602" s="61" t="s">
        <v>944</v>
      </c>
      <c r="E602" s="72" t="s">
        <v>98</v>
      </c>
      <c r="F602" s="62" t="s">
        <v>945</v>
      </c>
      <c r="G602" s="8" t="s">
        <v>70</v>
      </c>
      <c r="H602" s="8">
        <v>2007</v>
      </c>
      <c r="I602" s="62" t="s">
        <v>44</v>
      </c>
      <c r="J602" s="62" t="s">
        <v>110</v>
      </c>
      <c r="K602" s="62" t="s">
        <v>111</v>
      </c>
      <c r="L602" s="62" t="s">
        <v>83</v>
      </c>
      <c r="M602" s="62" t="s">
        <v>946</v>
      </c>
      <c r="N602" s="5">
        <v>0</v>
      </c>
      <c r="O602" s="8">
        <v>0</v>
      </c>
      <c r="P602" s="69">
        <v>121000</v>
      </c>
      <c r="Q602" s="69">
        <v>203000</v>
      </c>
      <c r="R602" s="69">
        <v>162000</v>
      </c>
      <c r="S602" s="62" t="s">
        <v>102</v>
      </c>
      <c r="T602" s="8">
        <f t="shared" si="32"/>
        <v>16</v>
      </c>
      <c r="U602" s="8">
        <v>1</v>
      </c>
      <c r="V602" s="8">
        <v>1</v>
      </c>
      <c r="W602" s="8">
        <v>1</v>
      </c>
      <c r="X602" s="8">
        <v>1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1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62" t="s">
        <v>146</v>
      </c>
      <c r="AL602" s="62" t="s">
        <v>169</v>
      </c>
      <c r="AM602" s="62" t="s">
        <v>77</v>
      </c>
      <c r="AN602" s="5"/>
      <c r="AO602" s="7"/>
    </row>
    <row r="603" spans="1:41" ht="15.75" customHeight="1" x14ac:dyDescent="0.25">
      <c r="A603" s="4">
        <v>602</v>
      </c>
      <c r="B603" s="5" t="s">
        <v>947</v>
      </c>
      <c r="C603" s="58">
        <v>3.5</v>
      </c>
      <c r="D603" s="61" t="s">
        <v>214</v>
      </c>
      <c r="E603" s="72" t="s">
        <v>215</v>
      </c>
      <c r="F603" s="62" t="s">
        <v>215</v>
      </c>
      <c r="G603" s="8" t="s">
        <v>70</v>
      </c>
      <c r="H603" s="8">
        <v>1969</v>
      </c>
      <c r="I603" s="62" t="s">
        <v>44</v>
      </c>
      <c r="J603" s="62" t="s">
        <v>216</v>
      </c>
      <c r="K603" s="62" t="s">
        <v>111</v>
      </c>
      <c r="L603" s="62" t="s">
        <v>91</v>
      </c>
      <c r="M603" s="62" t="s">
        <v>217</v>
      </c>
      <c r="N603" s="5">
        <v>0</v>
      </c>
      <c r="O603" s="8">
        <v>0</v>
      </c>
      <c r="P603" s="69">
        <v>52000</v>
      </c>
      <c r="Q603" s="69">
        <v>85000</v>
      </c>
      <c r="R603" s="69">
        <v>68500</v>
      </c>
      <c r="S603" s="62" t="s">
        <v>102</v>
      </c>
      <c r="T603" s="8">
        <f t="shared" si="32"/>
        <v>54</v>
      </c>
      <c r="U603" s="8">
        <v>1</v>
      </c>
      <c r="V603" s="8">
        <v>1</v>
      </c>
      <c r="W603" s="8">
        <v>0</v>
      </c>
      <c r="X603" s="8">
        <v>1</v>
      </c>
      <c r="Y603" s="8">
        <v>0</v>
      </c>
      <c r="Z603" s="8">
        <v>0</v>
      </c>
      <c r="AA603" s="8">
        <v>0</v>
      </c>
      <c r="AB603" s="8">
        <v>1</v>
      </c>
      <c r="AC603" s="8">
        <v>1</v>
      </c>
      <c r="AD603" s="8">
        <v>1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62" t="s">
        <v>49</v>
      </c>
      <c r="AL603" s="62" t="s">
        <v>50</v>
      </c>
      <c r="AM603" s="62" t="s">
        <v>51</v>
      </c>
      <c r="AN603" s="5"/>
      <c r="AO603" s="7"/>
    </row>
    <row r="604" spans="1:41" ht="15.75" customHeight="1" x14ac:dyDescent="0.25">
      <c r="A604" s="4">
        <v>603</v>
      </c>
      <c r="B604" s="5" t="s">
        <v>948</v>
      </c>
      <c r="C604" s="58">
        <v>3.4</v>
      </c>
      <c r="D604" s="61" t="s">
        <v>949</v>
      </c>
      <c r="E604" s="72" t="s">
        <v>950</v>
      </c>
      <c r="F604" s="62" t="s">
        <v>80</v>
      </c>
      <c r="G604" s="8" t="s">
        <v>56</v>
      </c>
      <c r="H604" s="8">
        <v>1978</v>
      </c>
      <c r="I604" s="62" t="s">
        <v>89</v>
      </c>
      <c r="J604" s="62" t="s">
        <v>161</v>
      </c>
      <c r="K604" s="62" t="s">
        <v>162</v>
      </c>
      <c r="L604" s="62" t="s">
        <v>194</v>
      </c>
      <c r="M604" s="62" t="s">
        <v>951</v>
      </c>
      <c r="N604" s="5">
        <v>0</v>
      </c>
      <c r="O604" s="8">
        <v>0</v>
      </c>
      <c r="P604" s="69">
        <v>81000</v>
      </c>
      <c r="Q604" s="69">
        <v>140000</v>
      </c>
      <c r="R604" s="69">
        <v>110500</v>
      </c>
      <c r="S604" s="62" t="s">
        <v>258</v>
      </c>
      <c r="T604" s="8">
        <f t="shared" si="32"/>
        <v>45</v>
      </c>
      <c r="U604" s="8">
        <v>0</v>
      </c>
      <c r="V604" s="8">
        <v>0</v>
      </c>
      <c r="W604" s="8">
        <v>0</v>
      </c>
      <c r="X604" s="8">
        <v>1</v>
      </c>
      <c r="Y604" s="8">
        <v>1</v>
      </c>
      <c r="Z604" s="8">
        <v>0</v>
      </c>
      <c r="AA604" s="8">
        <v>0</v>
      </c>
      <c r="AB604" s="8">
        <v>1</v>
      </c>
      <c r="AC604" s="8">
        <v>0</v>
      </c>
      <c r="AD604" s="8">
        <v>1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62" t="s">
        <v>49</v>
      </c>
      <c r="AL604" s="62" t="s">
        <v>169</v>
      </c>
      <c r="AM604" s="62" t="s">
        <v>77</v>
      </c>
      <c r="AN604" s="5"/>
      <c r="AO604" s="7"/>
    </row>
    <row r="605" spans="1:41" ht="15.75" customHeight="1" x14ac:dyDescent="0.25">
      <c r="A605" s="4">
        <v>604</v>
      </c>
      <c r="B605" s="5" t="s">
        <v>952</v>
      </c>
      <c r="C605" s="58">
        <v>3.7</v>
      </c>
      <c r="D605" s="61" t="s">
        <v>953</v>
      </c>
      <c r="E605" s="72" t="s">
        <v>954</v>
      </c>
      <c r="F605" s="62" t="s">
        <v>955</v>
      </c>
      <c r="G605" s="8" t="s">
        <v>88</v>
      </c>
      <c r="H605" s="8" t="s">
        <v>47</v>
      </c>
      <c r="I605" s="62" t="s">
        <v>142</v>
      </c>
      <c r="J605" s="62" t="s">
        <v>161</v>
      </c>
      <c r="K605" s="62" t="s">
        <v>162</v>
      </c>
      <c r="L605" s="62" t="s">
        <v>66</v>
      </c>
      <c r="M605" s="62" t="s">
        <v>47</v>
      </c>
      <c r="N605" s="5">
        <v>0</v>
      </c>
      <c r="O605" s="8">
        <v>0</v>
      </c>
      <c r="P605" s="69">
        <v>83000</v>
      </c>
      <c r="Q605" s="69">
        <v>148000</v>
      </c>
      <c r="R605" s="69">
        <v>115500</v>
      </c>
      <c r="S605" s="62" t="s">
        <v>766</v>
      </c>
      <c r="T605" s="8" t="s">
        <v>47</v>
      </c>
      <c r="U605" s="8">
        <v>1</v>
      </c>
      <c r="V605" s="8">
        <v>0</v>
      </c>
      <c r="W605" s="8">
        <v>0</v>
      </c>
      <c r="X605" s="8">
        <v>1</v>
      </c>
      <c r="Y605" s="8">
        <v>1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1</v>
      </c>
      <c r="AG605" s="8">
        <v>0</v>
      </c>
      <c r="AH605" s="8">
        <v>0</v>
      </c>
      <c r="AI605" s="8">
        <v>0</v>
      </c>
      <c r="AJ605" s="8">
        <v>0</v>
      </c>
      <c r="AK605" s="62" t="s">
        <v>146</v>
      </c>
      <c r="AL605" s="62" t="s">
        <v>169</v>
      </c>
      <c r="AM605" s="62" t="s">
        <v>77</v>
      </c>
      <c r="AN605" s="5"/>
      <c r="AO605" s="7"/>
    </row>
    <row r="606" spans="1:41" ht="15.75" customHeight="1" x14ac:dyDescent="0.25">
      <c r="A606" s="4">
        <v>605</v>
      </c>
      <c r="B606" s="5" t="s">
        <v>1166</v>
      </c>
      <c r="C606" s="58">
        <v>3</v>
      </c>
      <c r="D606" s="61" t="s">
        <v>1167</v>
      </c>
      <c r="E606" s="72" t="s">
        <v>1168</v>
      </c>
      <c r="F606" s="62" t="s">
        <v>1168</v>
      </c>
      <c r="G606" s="8" t="s">
        <v>43</v>
      </c>
      <c r="H606" s="8">
        <v>1994</v>
      </c>
      <c r="I606" s="62" t="s">
        <v>89</v>
      </c>
      <c r="J606" s="62" t="s">
        <v>136</v>
      </c>
      <c r="K606" s="62" t="s">
        <v>136</v>
      </c>
      <c r="L606" s="62" t="s">
        <v>83</v>
      </c>
      <c r="M606" s="62" t="s">
        <v>1169</v>
      </c>
      <c r="N606" s="5">
        <v>0</v>
      </c>
      <c r="O606" s="8">
        <v>0</v>
      </c>
      <c r="P606" s="69">
        <v>59000</v>
      </c>
      <c r="Q606" s="69">
        <v>116000</v>
      </c>
      <c r="R606" s="69">
        <v>87500</v>
      </c>
      <c r="S606" s="62" t="s">
        <v>102</v>
      </c>
      <c r="T606" s="8">
        <f t="shared" ref="T606:T610" si="33">2023-H606</f>
        <v>29</v>
      </c>
      <c r="U606" s="8">
        <v>0</v>
      </c>
      <c r="V606" s="8">
        <v>0</v>
      </c>
      <c r="W606" s="8">
        <v>0</v>
      </c>
      <c r="X606" s="8">
        <v>1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62" t="s">
        <v>107</v>
      </c>
      <c r="AL606" s="62" t="s">
        <v>50</v>
      </c>
      <c r="AM606" s="62" t="s">
        <v>51</v>
      </c>
      <c r="AN606" s="5"/>
      <c r="AO606" s="7"/>
    </row>
    <row r="607" spans="1:41" ht="15.75" customHeight="1" x14ac:dyDescent="0.25">
      <c r="A607" s="4">
        <v>606</v>
      </c>
      <c r="B607" s="5" t="s">
        <v>956</v>
      </c>
      <c r="C607" s="58">
        <v>3.8</v>
      </c>
      <c r="D607" s="61" t="s">
        <v>68</v>
      </c>
      <c r="E607" s="72" t="s">
        <v>69</v>
      </c>
      <c r="F607" s="62" t="s">
        <v>69</v>
      </c>
      <c r="G607" s="8" t="s">
        <v>70</v>
      </c>
      <c r="H607" s="8">
        <v>1965</v>
      </c>
      <c r="I607" s="62" t="s">
        <v>71</v>
      </c>
      <c r="J607" s="62" t="s">
        <v>72</v>
      </c>
      <c r="K607" s="62" t="s">
        <v>73</v>
      </c>
      <c r="L607" s="62" t="s">
        <v>74</v>
      </c>
      <c r="M607" s="62" t="s">
        <v>75</v>
      </c>
      <c r="N607" s="5">
        <v>0</v>
      </c>
      <c r="O607" s="8">
        <v>0</v>
      </c>
      <c r="P607" s="69">
        <v>60000</v>
      </c>
      <c r="Q607" s="69">
        <v>101000</v>
      </c>
      <c r="R607" s="69">
        <v>80500</v>
      </c>
      <c r="S607" s="62" t="s">
        <v>76</v>
      </c>
      <c r="T607" s="8">
        <f t="shared" si="33"/>
        <v>58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1</v>
      </c>
      <c r="AC607" s="8">
        <v>0</v>
      </c>
      <c r="AD607" s="8">
        <v>1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62" t="s">
        <v>49</v>
      </c>
      <c r="AL607" s="62" t="s">
        <v>169</v>
      </c>
      <c r="AM607" s="62" t="s">
        <v>51</v>
      </c>
      <c r="AN607" s="5"/>
      <c r="AO607" s="7"/>
    </row>
    <row r="608" spans="1:41" ht="15.75" customHeight="1" x14ac:dyDescent="0.25">
      <c r="A608" s="4">
        <v>607</v>
      </c>
      <c r="B608" s="5" t="s">
        <v>957</v>
      </c>
      <c r="C608" s="58">
        <v>4.5999999999999996</v>
      </c>
      <c r="D608" s="61" t="s">
        <v>958</v>
      </c>
      <c r="E608" s="72" t="s">
        <v>959</v>
      </c>
      <c r="F608" s="62" t="s">
        <v>960</v>
      </c>
      <c r="G608" s="8" t="s">
        <v>43</v>
      </c>
      <c r="H608" s="8">
        <v>1992</v>
      </c>
      <c r="I608" s="62" t="s">
        <v>44</v>
      </c>
      <c r="J608" s="62" t="s">
        <v>613</v>
      </c>
      <c r="K608" s="62" t="s">
        <v>96</v>
      </c>
      <c r="L608" s="62" t="s">
        <v>66</v>
      </c>
      <c r="M608" s="62" t="s">
        <v>47</v>
      </c>
      <c r="N608" s="5">
        <v>0</v>
      </c>
      <c r="O608" s="8">
        <v>0</v>
      </c>
      <c r="P608" s="69">
        <v>31000</v>
      </c>
      <c r="Q608" s="69">
        <v>55000</v>
      </c>
      <c r="R608" s="69">
        <v>43000</v>
      </c>
      <c r="S608" s="62" t="s">
        <v>766</v>
      </c>
      <c r="T608" s="8">
        <f t="shared" si="33"/>
        <v>31</v>
      </c>
      <c r="U608" s="8">
        <v>0</v>
      </c>
      <c r="V608" s="8">
        <v>0</v>
      </c>
      <c r="W608" s="8">
        <v>0</v>
      </c>
      <c r="X608" s="8">
        <v>1</v>
      </c>
      <c r="Y608" s="8">
        <v>1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1</v>
      </c>
      <c r="AG608" s="8">
        <v>0</v>
      </c>
      <c r="AH608" s="8">
        <v>0</v>
      </c>
      <c r="AI608" s="8">
        <v>0</v>
      </c>
      <c r="AJ608" s="8">
        <v>0</v>
      </c>
      <c r="AK608" s="62" t="s">
        <v>132</v>
      </c>
      <c r="AL608" s="62" t="s">
        <v>50</v>
      </c>
      <c r="AM608" s="62" t="s">
        <v>77</v>
      </c>
      <c r="AN608" s="5"/>
      <c r="AO608" s="7"/>
    </row>
    <row r="609" spans="1:41" ht="15.75" customHeight="1" x14ac:dyDescent="0.25">
      <c r="A609" s="4">
        <v>608</v>
      </c>
      <c r="B609" s="5" t="s">
        <v>961</v>
      </c>
      <c r="C609" s="58">
        <v>4.4000000000000004</v>
      </c>
      <c r="D609" s="61" t="s">
        <v>962</v>
      </c>
      <c r="E609" s="72" t="s">
        <v>134</v>
      </c>
      <c r="F609" s="62" t="s">
        <v>134</v>
      </c>
      <c r="G609" s="8" t="s">
        <v>88</v>
      </c>
      <c r="H609" s="8">
        <v>2003</v>
      </c>
      <c r="I609" s="62" t="s">
        <v>89</v>
      </c>
      <c r="J609" s="62" t="s">
        <v>136</v>
      </c>
      <c r="K609" s="62" t="s">
        <v>136</v>
      </c>
      <c r="L609" s="62" t="s">
        <v>83</v>
      </c>
      <c r="M609" s="62" t="s">
        <v>47</v>
      </c>
      <c r="N609" s="5">
        <v>0</v>
      </c>
      <c r="O609" s="8">
        <v>0</v>
      </c>
      <c r="P609" s="69">
        <v>102000</v>
      </c>
      <c r="Q609" s="69">
        <v>178000</v>
      </c>
      <c r="R609" s="69">
        <v>140000</v>
      </c>
      <c r="S609" s="62" t="s">
        <v>138</v>
      </c>
      <c r="T609" s="8">
        <f t="shared" si="33"/>
        <v>20</v>
      </c>
      <c r="U609" s="8">
        <v>0</v>
      </c>
      <c r="V609" s="8">
        <v>0</v>
      </c>
      <c r="W609" s="8">
        <v>0</v>
      </c>
      <c r="X609" s="8">
        <v>1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62" t="s">
        <v>829</v>
      </c>
      <c r="AL609" s="62" t="s">
        <v>50</v>
      </c>
      <c r="AM609" s="62" t="s">
        <v>108</v>
      </c>
      <c r="AN609" s="5"/>
      <c r="AO609" s="7"/>
    </row>
    <row r="610" spans="1:41" ht="15.75" customHeight="1" x14ac:dyDescent="0.25">
      <c r="A610" s="4">
        <v>609</v>
      </c>
      <c r="B610" s="5" t="s">
        <v>1170</v>
      </c>
      <c r="C610" s="58">
        <v>4</v>
      </c>
      <c r="D610" s="61" t="s">
        <v>186</v>
      </c>
      <c r="E610" s="72" t="s">
        <v>134</v>
      </c>
      <c r="F610" s="62" t="s">
        <v>80</v>
      </c>
      <c r="G610" s="8" t="s">
        <v>56</v>
      </c>
      <c r="H610" s="8">
        <v>1849</v>
      </c>
      <c r="I610" s="62" t="s">
        <v>89</v>
      </c>
      <c r="J610" s="62" t="s">
        <v>136</v>
      </c>
      <c r="K610" s="62" t="s">
        <v>136</v>
      </c>
      <c r="L610" s="62" t="s">
        <v>128</v>
      </c>
      <c r="M610" s="62" t="s">
        <v>47</v>
      </c>
      <c r="N610" s="5">
        <v>0</v>
      </c>
      <c r="O610" s="8">
        <v>0</v>
      </c>
      <c r="P610" s="69">
        <v>136000</v>
      </c>
      <c r="Q610" s="69">
        <v>208000</v>
      </c>
      <c r="R610" s="69">
        <v>172000</v>
      </c>
      <c r="S610" s="62" t="s">
        <v>138</v>
      </c>
      <c r="T610" s="8">
        <f t="shared" si="33"/>
        <v>174</v>
      </c>
      <c r="U610" s="8">
        <v>0</v>
      </c>
      <c r="V610" s="8">
        <v>0</v>
      </c>
      <c r="W610" s="8">
        <v>1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62" t="s">
        <v>829</v>
      </c>
      <c r="AL610" s="62" t="s">
        <v>50</v>
      </c>
      <c r="AM610" s="62" t="s">
        <v>108</v>
      </c>
      <c r="AN610" s="5"/>
      <c r="AO610" s="7"/>
    </row>
    <row r="611" spans="1:41" ht="15.75" customHeight="1" x14ac:dyDescent="0.25">
      <c r="A611" s="4">
        <v>610</v>
      </c>
      <c r="B611" s="5" t="s">
        <v>963</v>
      </c>
      <c r="C611" s="58">
        <v>0</v>
      </c>
      <c r="D611" s="61" t="s">
        <v>898</v>
      </c>
      <c r="E611" s="72" t="s">
        <v>134</v>
      </c>
      <c r="F611" s="62" t="s">
        <v>899</v>
      </c>
      <c r="G611" s="8">
        <v>500</v>
      </c>
      <c r="H611" s="8" t="s">
        <v>47</v>
      </c>
      <c r="I611" s="62" t="s">
        <v>44</v>
      </c>
      <c r="J611" s="62" t="s">
        <v>47</v>
      </c>
      <c r="K611" s="62" t="s">
        <v>47</v>
      </c>
      <c r="L611" s="62" t="s">
        <v>83</v>
      </c>
      <c r="M611" s="62" t="s">
        <v>47</v>
      </c>
      <c r="N611" s="5">
        <v>0</v>
      </c>
      <c r="O611" s="8">
        <v>1</v>
      </c>
      <c r="P611" s="69">
        <v>110000</v>
      </c>
      <c r="Q611" s="69">
        <v>130000</v>
      </c>
      <c r="R611" s="69">
        <v>120000</v>
      </c>
      <c r="S611" s="62" t="s">
        <v>138</v>
      </c>
      <c r="T611" s="8" t="s">
        <v>47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62" t="s">
        <v>107</v>
      </c>
      <c r="AL611" s="62" t="s">
        <v>169</v>
      </c>
      <c r="AM611" s="62" t="s">
        <v>108</v>
      </c>
      <c r="AN611" s="5"/>
      <c r="AO611" s="7"/>
    </row>
    <row r="612" spans="1:41" ht="15.75" customHeight="1" x14ac:dyDescent="0.25">
      <c r="A612" s="4">
        <v>611</v>
      </c>
      <c r="B612" s="5" t="s">
        <v>964</v>
      </c>
      <c r="C612" s="58">
        <v>3</v>
      </c>
      <c r="D612" s="61" t="s">
        <v>965</v>
      </c>
      <c r="E612" s="72" t="s">
        <v>315</v>
      </c>
      <c r="F612" s="62" t="s">
        <v>315</v>
      </c>
      <c r="G612" s="8" t="s">
        <v>120</v>
      </c>
      <c r="H612" s="8">
        <v>1983</v>
      </c>
      <c r="I612" s="62" t="s">
        <v>44</v>
      </c>
      <c r="J612" s="62" t="s">
        <v>161</v>
      </c>
      <c r="K612" s="62" t="s">
        <v>162</v>
      </c>
      <c r="L612" s="62" t="s">
        <v>194</v>
      </c>
      <c r="M612" s="62" t="s">
        <v>966</v>
      </c>
      <c r="N612" s="5">
        <v>0</v>
      </c>
      <c r="O612" s="8">
        <v>0</v>
      </c>
      <c r="P612" s="69">
        <v>48000</v>
      </c>
      <c r="Q612" s="69">
        <v>85000</v>
      </c>
      <c r="R612" s="69">
        <v>66500</v>
      </c>
      <c r="S612" s="62" t="s">
        <v>305</v>
      </c>
      <c r="T612" s="8">
        <f t="shared" ref="T612:T621" si="34">2023-H612</f>
        <v>40</v>
      </c>
      <c r="U612" s="8">
        <v>0</v>
      </c>
      <c r="V612" s="8">
        <v>0</v>
      </c>
      <c r="W612" s="8">
        <v>0</v>
      </c>
      <c r="X612" s="8">
        <v>1</v>
      </c>
      <c r="Y612" s="8">
        <v>1</v>
      </c>
      <c r="Z612" s="8">
        <v>1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1</v>
      </c>
      <c r="AG612" s="8">
        <v>0</v>
      </c>
      <c r="AH612" s="8">
        <v>0</v>
      </c>
      <c r="AI612" s="8">
        <v>0</v>
      </c>
      <c r="AJ612" s="8">
        <v>0</v>
      </c>
      <c r="AK612" s="62" t="s">
        <v>132</v>
      </c>
      <c r="AL612" s="62" t="s">
        <v>169</v>
      </c>
      <c r="AM612" s="62" t="s">
        <v>51</v>
      </c>
      <c r="AN612" s="5"/>
      <c r="AO612" s="7"/>
    </row>
    <row r="613" spans="1:41" ht="15.75" customHeight="1" x14ac:dyDescent="0.25">
      <c r="A613" s="4">
        <v>612</v>
      </c>
      <c r="B613" s="5" t="s">
        <v>1171</v>
      </c>
      <c r="C613" s="58">
        <v>3</v>
      </c>
      <c r="D613" s="61" t="s">
        <v>1167</v>
      </c>
      <c r="E613" s="72" t="s">
        <v>1168</v>
      </c>
      <c r="F613" s="62" t="s">
        <v>1168</v>
      </c>
      <c r="G613" s="8" t="s">
        <v>43</v>
      </c>
      <c r="H613" s="8">
        <v>1994</v>
      </c>
      <c r="I613" s="62" t="s">
        <v>89</v>
      </c>
      <c r="J613" s="62" t="s">
        <v>136</v>
      </c>
      <c r="K613" s="62" t="s">
        <v>136</v>
      </c>
      <c r="L613" s="62" t="s">
        <v>83</v>
      </c>
      <c r="M613" s="62" t="s">
        <v>1169</v>
      </c>
      <c r="N613" s="5">
        <v>0</v>
      </c>
      <c r="O613" s="8">
        <v>0</v>
      </c>
      <c r="P613" s="69">
        <v>71000</v>
      </c>
      <c r="Q613" s="69">
        <v>129000</v>
      </c>
      <c r="R613" s="69">
        <v>100000</v>
      </c>
      <c r="S613" s="62" t="s">
        <v>102</v>
      </c>
      <c r="T613" s="8">
        <f t="shared" si="34"/>
        <v>29</v>
      </c>
      <c r="U613" s="8">
        <v>0</v>
      </c>
      <c r="V613" s="8">
        <v>0</v>
      </c>
      <c r="W613" s="8">
        <v>0</v>
      </c>
      <c r="X613" s="8">
        <v>1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62" t="s">
        <v>107</v>
      </c>
      <c r="AL613" s="62" t="s">
        <v>169</v>
      </c>
      <c r="AM613" s="62" t="s">
        <v>108</v>
      </c>
      <c r="AN613" s="5"/>
      <c r="AO613" s="7"/>
    </row>
    <row r="614" spans="1:41" ht="15.75" customHeight="1" x14ac:dyDescent="0.25">
      <c r="A614" s="4">
        <v>613</v>
      </c>
      <c r="B614" s="5" t="s">
        <v>967</v>
      </c>
      <c r="C614" s="58">
        <v>4.7</v>
      </c>
      <c r="D614" s="61" t="s">
        <v>968</v>
      </c>
      <c r="E614" s="72" t="s">
        <v>98</v>
      </c>
      <c r="F614" s="62" t="s">
        <v>462</v>
      </c>
      <c r="G614" s="8" t="s">
        <v>81</v>
      </c>
      <c r="H614" s="8">
        <v>2006</v>
      </c>
      <c r="I614" s="62" t="s">
        <v>44</v>
      </c>
      <c r="J614" s="62" t="s">
        <v>317</v>
      </c>
      <c r="K614" s="62" t="s">
        <v>65</v>
      </c>
      <c r="L614" s="62" t="s">
        <v>149</v>
      </c>
      <c r="M614" s="62" t="s">
        <v>47</v>
      </c>
      <c r="N614" s="5">
        <v>0</v>
      </c>
      <c r="O614" s="8">
        <v>0</v>
      </c>
      <c r="P614" s="69">
        <v>66000</v>
      </c>
      <c r="Q614" s="69">
        <v>123000</v>
      </c>
      <c r="R614" s="69">
        <v>94500</v>
      </c>
      <c r="S614" s="62" t="s">
        <v>102</v>
      </c>
      <c r="T614" s="8">
        <f t="shared" si="34"/>
        <v>17</v>
      </c>
      <c r="U614" s="8">
        <v>1</v>
      </c>
      <c r="V614" s="8">
        <v>0</v>
      </c>
      <c r="W614" s="8">
        <v>1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62" t="s">
        <v>146</v>
      </c>
      <c r="AL614" s="62" t="s">
        <v>169</v>
      </c>
      <c r="AM614" s="62" t="s">
        <v>77</v>
      </c>
      <c r="AN614" s="5"/>
      <c r="AO614" s="7"/>
    </row>
    <row r="615" spans="1:41" ht="15.75" customHeight="1" x14ac:dyDescent="0.25">
      <c r="A615" s="4">
        <v>614</v>
      </c>
      <c r="B615" s="5" t="s">
        <v>1134</v>
      </c>
      <c r="C615" s="58">
        <v>4.2</v>
      </c>
      <c r="D615" s="61" t="s">
        <v>1172</v>
      </c>
      <c r="E615" s="72" t="s">
        <v>98</v>
      </c>
      <c r="F615" s="62" t="s">
        <v>114</v>
      </c>
      <c r="G615" s="8" t="s">
        <v>43</v>
      </c>
      <c r="H615" s="8">
        <v>2011</v>
      </c>
      <c r="I615" s="62" t="s">
        <v>44</v>
      </c>
      <c r="J615" s="62" t="s">
        <v>58</v>
      </c>
      <c r="K615" s="62" t="s">
        <v>59</v>
      </c>
      <c r="L615" s="62" t="s">
        <v>83</v>
      </c>
      <c r="M615" s="62" t="s">
        <v>47</v>
      </c>
      <c r="N615" s="5">
        <v>0</v>
      </c>
      <c r="O615" s="8">
        <v>0</v>
      </c>
      <c r="P615" s="69">
        <v>171000</v>
      </c>
      <c r="Q615" s="69">
        <v>272000</v>
      </c>
      <c r="R615" s="69">
        <v>221500</v>
      </c>
      <c r="S615" s="62" t="s">
        <v>102</v>
      </c>
      <c r="T615" s="8">
        <f t="shared" si="34"/>
        <v>12</v>
      </c>
      <c r="U615" s="8">
        <v>1</v>
      </c>
      <c r="V615" s="8">
        <v>0</v>
      </c>
      <c r="W615" s="8">
        <v>0</v>
      </c>
      <c r="X615" s="8">
        <v>1</v>
      </c>
      <c r="Y615" s="8">
        <v>1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62" t="s">
        <v>49</v>
      </c>
      <c r="AL615" s="62" t="s">
        <v>50</v>
      </c>
      <c r="AM615" s="62" t="s">
        <v>77</v>
      </c>
      <c r="AN615" s="5"/>
      <c r="AO615" s="7"/>
    </row>
    <row r="616" spans="1:41" ht="15.75" customHeight="1" x14ac:dyDescent="0.25">
      <c r="A616" s="4">
        <v>615</v>
      </c>
      <c r="B616" s="5" t="s">
        <v>969</v>
      </c>
      <c r="C616" s="58">
        <v>3.8</v>
      </c>
      <c r="D616" s="61" t="s">
        <v>68</v>
      </c>
      <c r="E616" s="72" t="s">
        <v>99</v>
      </c>
      <c r="F616" s="62" t="s">
        <v>69</v>
      </c>
      <c r="G616" s="8" t="s">
        <v>70</v>
      </c>
      <c r="H616" s="8">
        <v>1965</v>
      </c>
      <c r="I616" s="62" t="s">
        <v>71</v>
      </c>
      <c r="J616" s="62" t="s">
        <v>72</v>
      </c>
      <c r="K616" s="62" t="s">
        <v>73</v>
      </c>
      <c r="L616" s="62" t="s">
        <v>74</v>
      </c>
      <c r="M616" s="62" t="s">
        <v>75</v>
      </c>
      <c r="N616" s="5">
        <v>0</v>
      </c>
      <c r="O616" s="8">
        <v>0</v>
      </c>
      <c r="P616" s="69">
        <v>92000</v>
      </c>
      <c r="Q616" s="69">
        <v>146000</v>
      </c>
      <c r="R616" s="69">
        <v>119000</v>
      </c>
      <c r="S616" s="62" t="s">
        <v>76</v>
      </c>
      <c r="T616" s="8">
        <f t="shared" si="34"/>
        <v>58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1</v>
      </c>
      <c r="AC616" s="8">
        <v>0</v>
      </c>
      <c r="AD616" s="8">
        <v>1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62" t="s">
        <v>49</v>
      </c>
      <c r="AL616" s="62" t="s">
        <v>169</v>
      </c>
      <c r="AM616" s="62" t="s">
        <v>51</v>
      </c>
      <c r="AN616" s="5"/>
      <c r="AO616" s="7"/>
    </row>
    <row r="617" spans="1:41" ht="15.75" customHeight="1" x14ac:dyDescent="0.25">
      <c r="A617" s="4">
        <v>616</v>
      </c>
      <c r="B617" s="5" t="s">
        <v>224</v>
      </c>
      <c r="C617" s="58">
        <v>3.5</v>
      </c>
      <c r="D617" s="61" t="s">
        <v>1173</v>
      </c>
      <c r="E617" s="72" t="s">
        <v>172</v>
      </c>
      <c r="F617" s="62" t="s">
        <v>172</v>
      </c>
      <c r="G617" s="8" t="s">
        <v>88</v>
      </c>
      <c r="H617" s="8">
        <v>1995</v>
      </c>
      <c r="I617" s="62" t="s">
        <v>44</v>
      </c>
      <c r="J617" s="62" t="s">
        <v>100</v>
      </c>
      <c r="K617" s="62" t="s">
        <v>65</v>
      </c>
      <c r="L617" s="62" t="s">
        <v>46</v>
      </c>
      <c r="M617" s="62" t="s">
        <v>47</v>
      </c>
      <c r="N617" s="5">
        <v>0</v>
      </c>
      <c r="O617" s="8">
        <v>0</v>
      </c>
      <c r="P617" s="69">
        <v>65000</v>
      </c>
      <c r="Q617" s="69">
        <v>126000</v>
      </c>
      <c r="R617" s="69">
        <v>95500</v>
      </c>
      <c r="S617" s="62" t="s">
        <v>176</v>
      </c>
      <c r="T617" s="8">
        <f t="shared" si="34"/>
        <v>28</v>
      </c>
      <c r="U617" s="8">
        <v>1</v>
      </c>
      <c r="V617" s="8">
        <v>0</v>
      </c>
      <c r="W617" s="8">
        <v>0</v>
      </c>
      <c r="X617" s="8">
        <v>0</v>
      </c>
      <c r="Y617" s="8">
        <v>1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62" t="s">
        <v>146</v>
      </c>
      <c r="AL617" s="62" t="s">
        <v>50</v>
      </c>
      <c r="AM617" s="62" t="s">
        <v>51</v>
      </c>
      <c r="AN617" s="5"/>
      <c r="AO617" s="7"/>
    </row>
    <row r="618" spans="1:41" ht="15.75" customHeight="1" x14ac:dyDescent="0.25">
      <c r="A618" s="4">
        <v>617</v>
      </c>
      <c r="B618" s="5" t="s">
        <v>977</v>
      </c>
      <c r="C618" s="58">
        <v>3.3</v>
      </c>
      <c r="D618" s="61" t="s">
        <v>268</v>
      </c>
      <c r="E618" s="72" t="s">
        <v>172</v>
      </c>
      <c r="F618" s="62" t="s">
        <v>269</v>
      </c>
      <c r="G618" s="8" t="s">
        <v>56</v>
      </c>
      <c r="H618" s="8">
        <v>1912</v>
      </c>
      <c r="I618" s="62" t="s">
        <v>44</v>
      </c>
      <c r="J618" s="62" t="s">
        <v>161</v>
      </c>
      <c r="K618" s="62" t="s">
        <v>162</v>
      </c>
      <c r="L618" s="62" t="s">
        <v>128</v>
      </c>
      <c r="M618" s="62" t="s">
        <v>270</v>
      </c>
      <c r="N618" s="5">
        <v>0</v>
      </c>
      <c r="O618" s="8">
        <v>0</v>
      </c>
      <c r="P618" s="69">
        <v>150000</v>
      </c>
      <c r="Q618" s="69">
        <v>239000</v>
      </c>
      <c r="R618" s="69">
        <v>194500</v>
      </c>
      <c r="S618" s="62" t="s">
        <v>176</v>
      </c>
      <c r="T618" s="8">
        <f t="shared" si="34"/>
        <v>111</v>
      </c>
      <c r="U618" s="8">
        <v>1</v>
      </c>
      <c r="V618" s="8">
        <v>0</v>
      </c>
      <c r="W618" s="8">
        <v>0</v>
      </c>
      <c r="X618" s="8">
        <v>0</v>
      </c>
      <c r="Y618" s="8">
        <v>0</v>
      </c>
      <c r="Z618" s="8">
        <v>1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62" t="s">
        <v>49</v>
      </c>
      <c r="AL618" s="62" t="s">
        <v>50</v>
      </c>
      <c r="AM618" s="62" t="s">
        <v>108</v>
      </c>
      <c r="AN618" s="5"/>
      <c r="AO618" s="7"/>
    </row>
    <row r="619" spans="1:41" ht="15.75" customHeight="1" x14ac:dyDescent="0.25">
      <c r="A619" s="4">
        <v>618</v>
      </c>
      <c r="B619" s="5" t="s">
        <v>970</v>
      </c>
      <c r="C619" s="58">
        <v>3.2</v>
      </c>
      <c r="D619" s="61" t="s">
        <v>971</v>
      </c>
      <c r="E619" s="72" t="s">
        <v>253</v>
      </c>
      <c r="F619" s="62" t="s">
        <v>972</v>
      </c>
      <c r="G619" s="8" t="s">
        <v>56</v>
      </c>
      <c r="H619" s="8">
        <v>1996</v>
      </c>
      <c r="I619" s="62" t="s">
        <v>160</v>
      </c>
      <c r="J619" s="62" t="s">
        <v>58</v>
      </c>
      <c r="K619" s="62" t="s">
        <v>59</v>
      </c>
      <c r="L619" s="62" t="s">
        <v>128</v>
      </c>
      <c r="M619" s="62" t="s">
        <v>973</v>
      </c>
      <c r="N619" s="5">
        <v>1</v>
      </c>
      <c r="O619" s="8">
        <v>0</v>
      </c>
      <c r="P619" s="69">
        <v>43000</v>
      </c>
      <c r="Q619" s="69">
        <v>60000</v>
      </c>
      <c r="R619" s="69">
        <v>51500</v>
      </c>
      <c r="S619" s="62" t="s">
        <v>439</v>
      </c>
      <c r="T619" s="8">
        <f t="shared" si="34"/>
        <v>27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62" t="s">
        <v>107</v>
      </c>
      <c r="AL619" s="62" t="s">
        <v>50</v>
      </c>
      <c r="AM619" s="62" t="s">
        <v>77</v>
      </c>
      <c r="AN619" s="5"/>
      <c r="AO619" s="7"/>
    </row>
    <row r="620" spans="1:41" ht="15.75" customHeight="1" x14ac:dyDescent="0.25">
      <c r="A620" s="4">
        <v>619</v>
      </c>
      <c r="B620" s="5" t="s">
        <v>974</v>
      </c>
      <c r="C620" s="58">
        <v>2.7</v>
      </c>
      <c r="D620" s="61" t="s">
        <v>975</v>
      </c>
      <c r="E620" s="72" t="s">
        <v>717</v>
      </c>
      <c r="F620" s="62" t="s">
        <v>976</v>
      </c>
      <c r="G620" s="8" t="s">
        <v>120</v>
      </c>
      <c r="H620" s="8">
        <v>2000</v>
      </c>
      <c r="I620" s="62" t="s">
        <v>89</v>
      </c>
      <c r="J620" s="62" t="s">
        <v>298</v>
      </c>
      <c r="K620" s="62" t="s">
        <v>96</v>
      </c>
      <c r="L620" s="62" t="s">
        <v>60</v>
      </c>
      <c r="M620" s="62" t="s">
        <v>47</v>
      </c>
      <c r="N620" s="5">
        <v>1</v>
      </c>
      <c r="O620" s="8">
        <v>0</v>
      </c>
      <c r="P620" s="69">
        <v>20000</v>
      </c>
      <c r="Q620" s="69">
        <v>35000</v>
      </c>
      <c r="R620" s="69">
        <v>27500</v>
      </c>
      <c r="S620" s="62" t="s">
        <v>542</v>
      </c>
      <c r="T620" s="8">
        <f t="shared" si="34"/>
        <v>23</v>
      </c>
      <c r="U620" s="8">
        <v>0</v>
      </c>
      <c r="V620" s="8">
        <v>0</v>
      </c>
      <c r="W620" s="8">
        <v>0</v>
      </c>
      <c r="X620" s="8">
        <v>1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1</v>
      </c>
      <c r="AG620" s="8">
        <v>0</v>
      </c>
      <c r="AH620" s="8">
        <v>0</v>
      </c>
      <c r="AI620" s="8">
        <v>0</v>
      </c>
      <c r="AJ620" s="8">
        <v>0</v>
      </c>
      <c r="AK620" s="62" t="s">
        <v>132</v>
      </c>
      <c r="AL620" s="62" t="s">
        <v>169</v>
      </c>
      <c r="AM620" s="62" t="s">
        <v>77</v>
      </c>
      <c r="AN620" s="5"/>
      <c r="AO620" s="7"/>
    </row>
    <row r="621" spans="1:41" ht="15.75" customHeight="1" x14ac:dyDescent="0.25">
      <c r="A621" s="4">
        <v>620</v>
      </c>
      <c r="B621" s="5" t="s">
        <v>1174</v>
      </c>
      <c r="C621" s="58">
        <v>3.3</v>
      </c>
      <c r="D621" s="61" t="s">
        <v>1175</v>
      </c>
      <c r="E621" s="72" t="s">
        <v>1003</v>
      </c>
      <c r="F621" s="62" t="s">
        <v>80</v>
      </c>
      <c r="G621" s="8" t="s">
        <v>70</v>
      </c>
      <c r="H621" s="8">
        <v>1973</v>
      </c>
      <c r="I621" s="62" t="s">
        <v>44</v>
      </c>
      <c r="J621" s="62" t="s">
        <v>493</v>
      </c>
      <c r="K621" s="62" t="s">
        <v>96</v>
      </c>
      <c r="L621" s="62" t="s">
        <v>91</v>
      </c>
      <c r="M621" s="62" t="s">
        <v>47</v>
      </c>
      <c r="N621" s="5">
        <v>0</v>
      </c>
      <c r="O621" s="8">
        <v>0</v>
      </c>
      <c r="P621" s="69">
        <v>118000</v>
      </c>
      <c r="Q621" s="69">
        <v>228000</v>
      </c>
      <c r="R621" s="69">
        <v>173000</v>
      </c>
      <c r="S621" s="62" t="s">
        <v>145</v>
      </c>
      <c r="T621" s="8">
        <f t="shared" si="34"/>
        <v>50</v>
      </c>
      <c r="U621" s="8">
        <v>1</v>
      </c>
      <c r="V621" s="8">
        <v>0</v>
      </c>
      <c r="W621" s="8">
        <v>0</v>
      </c>
      <c r="X621" s="8">
        <v>1</v>
      </c>
      <c r="Y621" s="8">
        <v>1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62" t="s">
        <v>132</v>
      </c>
      <c r="AL621" s="62" t="s">
        <v>169</v>
      </c>
      <c r="AM621" s="62" t="s">
        <v>77</v>
      </c>
      <c r="AN621" s="5"/>
      <c r="AO621" s="7"/>
    </row>
    <row r="622" spans="1:41" ht="15.75" customHeight="1" x14ac:dyDescent="0.25">
      <c r="A622" s="4">
        <v>621</v>
      </c>
      <c r="B622" s="5" t="s">
        <v>979</v>
      </c>
      <c r="C622" s="58">
        <v>3.7</v>
      </c>
      <c r="D622" s="61" t="s">
        <v>980</v>
      </c>
      <c r="E622" s="72" t="s">
        <v>732</v>
      </c>
      <c r="F622" s="62" t="s">
        <v>732</v>
      </c>
      <c r="G622" s="8" t="s">
        <v>43</v>
      </c>
      <c r="H622" s="8" t="s">
        <v>47</v>
      </c>
      <c r="I622" s="62" t="s">
        <v>531</v>
      </c>
      <c r="J622" s="62" t="s">
        <v>532</v>
      </c>
      <c r="K622" s="62" t="s">
        <v>415</v>
      </c>
      <c r="L622" s="62" t="s">
        <v>83</v>
      </c>
      <c r="M622" s="62" t="s">
        <v>47</v>
      </c>
      <c r="N622" s="5">
        <v>0</v>
      </c>
      <c r="O622" s="8">
        <v>0</v>
      </c>
      <c r="P622" s="69">
        <v>82000</v>
      </c>
      <c r="Q622" s="69">
        <v>129000</v>
      </c>
      <c r="R622" s="69">
        <v>105500</v>
      </c>
      <c r="S622" s="62" t="s">
        <v>93</v>
      </c>
      <c r="T622" s="8" t="s">
        <v>47</v>
      </c>
      <c r="U622" s="8">
        <v>1</v>
      </c>
      <c r="V622" s="8">
        <v>0</v>
      </c>
      <c r="W622" s="8">
        <v>1</v>
      </c>
      <c r="X622" s="8">
        <v>0</v>
      </c>
      <c r="Y622" s="8">
        <v>0</v>
      </c>
      <c r="Z622" s="8">
        <v>0</v>
      </c>
      <c r="AA622" s="8">
        <v>1</v>
      </c>
      <c r="AB622" s="8">
        <v>1</v>
      </c>
      <c r="AC622" s="8">
        <v>1</v>
      </c>
      <c r="AD622" s="8">
        <v>1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62" t="s">
        <v>49</v>
      </c>
      <c r="AL622" s="62" t="s">
        <v>50</v>
      </c>
      <c r="AM622" s="62" t="s">
        <v>77</v>
      </c>
      <c r="AN622" s="5"/>
      <c r="AO622" s="7"/>
    </row>
    <row r="623" spans="1:41" ht="15.75" customHeight="1" x14ac:dyDescent="0.25">
      <c r="A623" s="4">
        <v>622</v>
      </c>
      <c r="B623" s="5" t="s">
        <v>978</v>
      </c>
      <c r="C623" s="58">
        <v>3.9</v>
      </c>
      <c r="D623" s="61" t="s">
        <v>796</v>
      </c>
      <c r="E623" s="72" t="s">
        <v>797</v>
      </c>
      <c r="F623" s="62" t="s">
        <v>798</v>
      </c>
      <c r="G623" s="8" t="s">
        <v>70</v>
      </c>
      <c r="H623" s="8">
        <v>1947</v>
      </c>
      <c r="I623" s="62" t="s">
        <v>160</v>
      </c>
      <c r="J623" s="62" t="s">
        <v>121</v>
      </c>
      <c r="K623" s="62" t="s">
        <v>65</v>
      </c>
      <c r="L623" s="62" t="s">
        <v>74</v>
      </c>
      <c r="M623" s="62" t="s">
        <v>799</v>
      </c>
      <c r="N623" s="5">
        <v>0</v>
      </c>
      <c r="O623" s="8">
        <v>0</v>
      </c>
      <c r="P623" s="69">
        <v>52000</v>
      </c>
      <c r="Q623" s="69">
        <v>91000</v>
      </c>
      <c r="R623" s="69">
        <v>71500</v>
      </c>
      <c r="S623" s="62" t="s">
        <v>93</v>
      </c>
      <c r="T623" s="8">
        <f t="shared" ref="T623:T642" si="35">2023-H623</f>
        <v>76</v>
      </c>
      <c r="U623" s="8">
        <v>1</v>
      </c>
      <c r="V623" s="8">
        <v>0</v>
      </c>
      <c r="W623" s="8">
        <v>1</v>
      </c>
      <c r="X623" s="8">
        <v>1</v>
      </c>
      <c r="Y623" s="8">
        <v>1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62" t="s">
        <v>107</v>
      </c>
      <c r="AL623" s="62" t="s">
        <v>169</v>
      </c>
      <c r="AM623" s="62" t="s">
        <v>77</v>
      </c>
      <c r="AN623" s="5"/>
      <c r="AO623" s="7"/>
    </row>
    <row r="624" spans="1:41" ht="15.75" customHeight="1" x14ac:dyDescent="0.25">
      <c r="A624" s="4">
        <v>623</v>
      </c>
      <c r="B624" s="5" t="s">
        <v>981</v>
      </c>
      <c r="C624" s="58">
        <v>3.1</v>
      </c>
      <c r="D624" s="61" t="s">
        <v>833</v>
      </c>
      <c r="E624" s="72" t="s">
        <v>871</v>
      </c>
      <c r="F624" s="62" t="s">
        <v>835</v>
      </c>
      <c r="G624" s="8" t="s">
        <v>120</v>
      </c>
      <c r="H624" s="8">
        <v>1875</v>
      </c>
      <c r="I624" s="62" t="s">
        <v>44</v>
      </c>
      <c r="J624" s="62" t="s">
        <v>499</v>
      </c>
      <c r="K624" s="62" t="s">
        <v>427</v>
      </c>
      <c r="L624" s="62" t="s">
        <v>128</v>
      </c>
      <c r="M624" s="62" t="s">
        <v>47</v>
      </c>
      <c r="N624" s="5">
        <v>0</v>
      </c>
      <c r="O624" s="8">
        <v>0</v>
      </c>
      <c r="P624" s="69">
        <v>47000</v>
      </c>
      <c r="Q624" s="69">
        <v>101000</v>
      </c>
      <c r="R624" s="69">
        <v>74000</v>
      </c>
      <c r="S624" s="62" t="s">
        <v>423</v>
      </c>
      <c r="T624" s="8">
        <f t="shared" si="35"/>
        <v>148</v>
      </c>
      <c r="U624" s="8">
        <v>0</v>
      </c>
      <c r="V624" s="8">
        <v>0</v>
      </c>
      <c r="W624" s="8">
        <v>0</v>
      </c>
      <c r="X624" s="8">
        <v>1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62" t="s">
        <v>107</v>
      </c>
      <c r="AL624" s="62" t="s">
        <v>169</v>
      </c>
      <c r="AM624" s="62" t="s">
        <v>51</v>
      </c>
      <c r="AN624" s="5"/>
      <c r="AO624" s="7"/>
    </row>
    <row r="625" spans="1:41" ht="15.75" customHeight="1" x14ac:dyDescent="0.25">
      <c r="A625" s="4">
        <v>624</v>
      </c>
      <c r="B625" s="5" t="s">
        <v>982</v>
      </c>
      <c r="C625" s="58">
        <v>3.7</v>
      </c>
      <c r="D625" s="61" t="s">
        <v>983</v>
      </c>
      <c r="E625" s="72" t="s">
        <v>273</v>
      </c>
      <c r="F625" s="62" t="s">
        <v>782</v>
      </c>
      <c r="G625" s="8" t="s">
        <v>56</v>
      </c>
      <c r="H625" s="8">
        <v>1922</v>
      </c>
      <c r="I625" s="62" t="s">
        <v>89</v>
      </c>
      <c r="J625" s="62" t="s">
        <v>45</v>
      </c>
      <c r="K625" s="62" t="s">
        <v>45</v>
      </c>
      <c r="L625" s="62" t="s">
        <v>128</v>
      </c>
      <c r="M625" s="62" t="s">
        <v>47</v>
      </c>
      <c r="N625" s="5">
        <v>0</v>
      </c>
      <c r="O625" s="8">
        <v>0</v>
      </c>
      <c r="P625" s="69">
        <v>49000</v>
      </c>
      <c r="Q625" s="69">
        <v>76000</v>
      </c>
      <c r="R625" s="69">
        <v>62500</v>
      </c>
      <c r="S625" s="62" t="s">
        <v>274</v>
      </c>
      <c r="T625" s="8">
        <f t="shared" si="35"/>
        <v>101</v>
      </c>
      <c r="U625" s="8">
        <v>0</v>
      </c>
      <c r="V625" s="8">
        <v>0</v>
      </c>
      <c r="W625" s="8">
        <v>0</v>
      </c>
      <c r="X625" s="8">
        <v>1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62" t="s">
        <v>132</v>
      </c>
      <c r="AL625" s="62" t="s">
        <v>50</v>
      </c>
      <c r="AM625" s="62" t="s">
        <v>77</v>
      </c>
      <c r="AN625" s="5"/>
      <c r="AO625" s="7"/>
    </row>
    <row r="626" spans="1:41" ht="15.75" customHeight="1" x14ac:dyDescent="0.25">
      <c r="A626" s="4">
        <v>625</v>
      </c>
      <c r="B626" s="5" t="s">
        <v>984</v>
      </c>
      <c r="C626" s="58">
        <v>4.3</v>
      </c>
      <c r="D626" s="61" t="s">
        <v>985</v>
      </c>
      <c r="E626" s="72" t="s">
        <v>910</v>
      </c>
      <c r="F626" s="62" t="s">
        <v>986</v>
      </c>
      <c r="G626" s="8" t="s">
        <v>70</v>
      </c>
      <c r="H626" s="8">
        <v>1958</v>
      </c>
      <c r="I626" s="62" t="s">
        <v>160</v>
      </c>
      <c r="J626" s="62" t="s">
        <v>121</v>
      </c>
      <c r="K626" s="62" t="s">
        <v>65</v>
      </c>
      <c r="L626" s="62" t="s">
        <v>74</v>
      </c>
      <c r="M626" s="62" t="s">
        <v>987</v>
      </c>
      <c r="N626" s="5">
        <v>0</v>
      </c>
      <c r="O626" s="8">
        <v>0</v>
      </c>
      <c r="P626" s="69">
        <v>43000</v>
      </c>
      <c r="Q626" s="69">
        <v>88000</v>
      </c>
      <c r="R626" s="69">
        <v>65500</v>
      </c>
      <c r="S626" s="62" t="s">
        <v>423</v>
      </c>
      <c r="T626" s="8">
        <f t="shared" si="35"/>
        <v>65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62" t="s">
        <v>107</v>
      </c>
      <c r="AL626" s="62" t="s">
        <v>169</v>
      </c>
      <c r="AM626" s="62" t="s">
        <v>108</v>
      </c>
      <c r="AN626" s="5"/>
      <c r="AO626" s="7"/>
    </row>
    <row r="627" spans="1:41" ht="15.75" customHeight="1" x14ac:dyDescent="0.25">
      <c r="A627" s="4">
        <v>626</v>
      </c>
      <c r="B627" s="5" t="s">
        <v>39</v>
      </c>
      <c r="C627" s="58">
        <v>3.8</v>
      </c>
      <c r="D627" s="61" t="s">
        <v>301</v>
      </c>
      <c r="E627" s="72" t="s">
        <v>302</v>
      </c>
      <c r="F627" s="62" t="s">
        <v>302</v>
      </c>
      <c r="G627" s="8" t="s">
        <v>56</v>
      </c>
      <c r="H627" s="8">
        <v>1948</v>
      </c>
      <c r="I627" s="62" t="s">
        <v>89</v>
      </c>
      <c r="J627" s="62" t="s">
        <v>303</v>
      </c>
      <c r="K627" s="62" t="s">
        <v>116</v>
      </c>
      <c r="L627" s="62" t="s">
        <v>194</v>
      </c>
      <c r="M627" s="62" t="s">
        <v>304</v>
      </c>
      <c r="N627" s="5">
        <v>0</v>
      </c>
      <c r="O627" s="8">
        <v>0</v>
      </c>
      <c r="P627" s="69">
        <v>61000</v>
      </c>
      <c r="Q627" s="69">
        <v>109000</v>
      </c>
      <c r="R627" s="69">
        <v>85000</v>
      </c>
      <c r="S627" s="62" t="s">
        <v>305</v>
      </c>
      <c r="T627" s="8">
        <f t="shared" si="35"/>
        <v>75</v>
      </c>
      <c r="U627" s="8">
        <v>1</v>
      </c>
      <c r="V627" s="8">
        <v>0</v>
      </c>
      <c r="W627" s="8">
        <v>0</v>
      </c>
      <c r="X627" s="8">
        <v>0</v>
      </c>
      <c r="Y627" s="8">
        <v>1</v>
      </c>
      <c r="Z627" s="8">
        <v>0</v>
      </c>
      <c r="AA627" s="8">
        <v>0</v>
      </c>
      <c r="AB627" s="8">
        <v>1</v>
      </c>
      <c r="AC627" s="8">
        <v>0</v>
      </c>
      <c r="AD627" s="8">
        <v>1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62" t="s">
        <v>49</v>
      </c>
      <c r="AL627" s="62" t="s">
        <v>50</v>
      </c>
      <c r="AM627" s="62" t="s">
        <v>51</v>
      </c>
      <c r="AN627" s="5"/>
      <c r="AO627" s="7"/>
    </row>
    <row r="628" spans="1:41" ht="15.75" customHeight="1" x14ac:dyDescent="0.25">
      <c r="A628" s="4">
        <v>627</v>
      </c>
      <c r="B628" s="5" t="s">
        <v>1079</v>
      </c>
      <c r="C628" s="58">
        <v>3.9</v>
      </c>
      <c r="D628" s="61" t="s">
        <v>860</v>
      </c>
      <c r="E628" s="72" t="s">
        <v>1073</v>
      </c>
      <c r="F628" s="62" t="s">
        <v>861</v>
      </c>
      <c r="G628" s="8" t="s">
        <v>56</v>
      </c>
      <c r="H628" s="8">
        <v>1913</v>
      </c>
      <c r="I628" s="62" t="s">
        <v>89</v>
      </c>
      <c r="J628" s="62" t="s">
        <v>136</v>
      </c>
      <c r="K628" s="62" t="s">
        <v>136</v>
      </c>
      <c r="L628" s="62" t="s">
        <v>128</v>
      </c>
      <c r="M628" s="62" t="s">
        <v>862</v>
      </c>
      <c r="N628" s="5">
        <v>0</v>
      </c>
      <c r="O628" s="8">
        <v>0</v>
      </c>
      <c r="P628" s="69">
        <v>113000</v>
      </c>
      <c r="Q628" s="69">
        <v>182000</v>
      </c>
      <c r="R628" s="69">
        <v>147500</v>
      </c>
      <c r="S628" s="62" t="s">
        <v>61</v>
      </c>
      <c r="T628" s="8">
        <f t="shared" si="35"/>
        <v>110</v>
      </c>
      <c r="U628" s="8">
        <v>1</v>
      </c>
      <c r="V628" s="8">
        <v>0</v>
      </c>
      <c r="W628" s="8">
        <v>0</v>
      </c>
      <c r="X628" s="8">
        <v>1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62" t="s">
        <v>49</v>
      </c>
      <c r="AL628" s="62" t="s">
        <v>169</v>
      </c>
      <c r="AM628" s="62" t="s">
        <v>108</v>
      </c>
      <c r="AN628" s="5"/>
      <c r="AO628" s="7"/>
    </row>
    <row r="629" spans="1:41" ht="15.75" customHeight="1" x14ac:dyDescent="0.25">
      <c r="A629" s="4">
        <v>628</v>
      </c>
      <c r="B629" s="5" t="s">
        <v>988</v>
      </c>
      <c r="C629" s="58">
        <v>3.6</v>
      </c>
      <c r="D629" s="61" t="s">
        <v>989</v>
      </c>
      <c r="E629" s="72" t="s">
        <v>990</v>
      </c>
      <c r="F629" s="62" t="s">
        <v>991</v>
      </c>
      <c r="G629" s="8" t="s">
        <v>70</v>
      </c>
      <c r="H629" s="8">
        <v>1989</v>
      </c>
      <c r="I629" s="62" t="s">
        <v>44</v>
      </c>
      <c r="J629" s="62" t="s">
        <v>82</v>
      </c>
      <c r="K629" s="62" t="s">
        <v>65</v>
      </c>
      <c r="L629" s="62" t="s">
        <v>83</v>
      </c>
      <c r="M629" s="62" t="s">
        <v>47</v>
      </c>
      <c r="N629" s="5">
        <v>0</v>
      </c>
      <c r="O629" s="8">
        <v>0</v>
      </c>
      <c r="P629" s="69">
        <v>124000</v>
      </c>
      <c r="Q629" s="69">
        <v>199000</v>
      </c>
      <c r="R629" s="69">
        <v>161500</v>
      </c>
      <c r="S629" s="62" t="s">
        <v>145</v>
      </c>
      <c r="T629" s="8">
        <f t="shared" si="35"/>
        <v>34</v>
      </c>
      <c r="U629" s="8">
        <v>1</v>
      </c>
      <c r="V629" s="8">
        <v>0</v>
      </c>
      <c r="W629" s="8">
        <v>1</v>
      </c>
      <c r="X629" s="8">
        <v>1</v>
      </c>
      <c r="Y629" s="8">
        <v>1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1</v>
      </c>
      <c r="AG629" s="8">
        <v>1</v>
      </c>
      <c r="AH629" s="8">
        <v>0</v>
      </c>
      <c r="AI629" s="8">
        <v>0</v>
      </c>
      <c r="AJ629" s="8">
        <v>0</v>
      </c>
      <c r="AK629" s="62" t="s">
        <v>49</v>
      </c>
      <c r="AL629" s="62" t="s">
        <v>50</v>
      </c>
      <c r="AM629" s="62" t="s">
        <v>77</v>
      </c>
      <c r="AN629" s="5"/>
      <c r="AO629" s="7"/>
    </row>
    <row r="630" spans="1:41" ht="15.75" customHeight="1" x14ac:dyDescent="0.25">
      <c r="A630" s="4">
        <v>629</v>
      </c>
      <c r="B630" s="5" t="s">
        <v>224</v>
      </c>
      <c r="C630" s="58">
        <v>3.7</v>
      </c>
      <c r="D630" s="61" t="s">
        <v>1176</v>
      </c>
      <c r="E630" s="72" t="s">
        <v>1177</v>
      </c>
      <c r="F630" s="62" t="s">
        <v>1177</v>
      </c>
      <c r="G630" s="8" t="s">
        <v>56</v>
      </c>
      <c r="H630" s="8">
        <v>1899</v>
      </c>
      <c r="I630" s="62" t="s">
        <v>160</v>
      </c>
      <c r="J630" s="62" t="s">
        <v>58</v>
      </c>
      <c r="K630" s="62" t="s">
        <v>59</v>
      </c>
      <c r="L630" s="62" t="s">
        <v>91</v>
      </c>
      <c r="M630" s="62" t="s">
        <v>47</v>
      </c>
      <c r="N630" s="5">
        <v>0</v>
      </c>
      <c r="O630" s="8">
        <v>0</v>
      </c>
      <c r="P630" s="69">
        <v>58000</v>
      </c>
      <c r="Q630" s="69">
        <v>104000</v>
      </c>
      <c r="R630" s="69">
        <v>81000</v>
      </c>
      <c r="S630" s="62" t="s">
        <v>122</v>
      </c>
      <c r="T630" s="8">
        <f t="shared" si="35"/>
        <v>124</v>
      </c>
      <c r="U630" s="8">
        <v>0</v>
      </c>
      <c r="V630" s="8">
        <v>0</v>
      </c>
      <c r="W630" s="8">
        <v>0</v>
      </c>
      <c r="X630" s="8">
        <v>1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62" t="s">
        <v>146</v>
      </c>
      <c r="AL630" s="62" t="s">
        <v>50</v>
      </c>
      <c r="AM630" s="62" t="s">
        <v>51</v>
      </c>
      <c r="AN630" s="5"/>
      <c r="AO630" s="7"/>
    </row>
    <row r="631" spans="1:41" ht="15.75" customHeight="1" x14ac:dyDescent="0.25">
      <c r="A631" s="4">
        <v>630</v>
      </c>
      <c r="B631" s="5" t="s">
        <v>992</v>
      </c>
      <c r="C631" s="58">
        <v>2.1</v>
      </c>
      <c r="D631" s="61" t="s">
        <v>993</v>
      </c>
      <c r="E631" s="72" t="s">
        <v>994</v>
      </c>
      <c r="F631" s="62" t="s">
        <v>995</v>
      </c>
      <c r="G631" s="8" t="s">
        <v>70</v>
      </c>
      <c r="H631" s="8">
        <v>2003</v>
      </c>
      <c r="I631" s="62" t="s">
        <v>57</v>
      </c>
      <c r="J631" s="62" t="s">
        <v>136</v>
      </c>
      <c r="K631" s="62" t="s">
        <v>136</v>
      </c>
      <c r="L631" s="62" t="s">
        <v>66</v>
      </c>
      <c r="M631" s="62" t="s">
        <v>996</v>
      </c>
      <c r="N631" s="5">
        <v>0</v>
      </c>
      <c r="O631" s="8">
        <v>0</v>
      </c>
      <c r="P631" s="69">
        <v>52000</v>
      </c>
      <c r="Q631" s="69">
        <v>93000</v>
      </c>
      <c r="R631" s="69">
        <v>72500</v>
      </c>
      <c r="S631" s="62" t="s">
        <v>305</v>
      </c>
      <c r="T631" s="8">
        <f t="shared" si="35"/>
        <v>20</v>
      </c>
      <c r="U631" s="8">
        <v>0</v>
      </c>
      <c r="V631" s="8">
        <v>0</v>
      </c>
      <c r="W631" s="8">
        <v>0</v>
      </c>
      <c r="X631" s="8">
        <v>1</v>
      </c>
      <c r="Y631" s="8">
        <v>1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1</v>
      </c>
      <c r="AG631" s="8">
        <v>0</v>
      </c>
      <c r="AH631" s="8">
        <v>0</v>
      </c>
      <c r="AI631" s="8">
        <v>0</v>
      </c>
      <c r="AJ631" s="8">
        <v>0</v>
      </c>
      <c r="AK631" s="62" t="s">
        <v>132</v>
      </c>
      <c r="AL631" s="62" t="s">
        <v>169</v>
      </c>
      <c r="AM631" s="62" t="s">
        <v>77</v>
      </c>
      <c r="AN631" s="5"/>
      <c r="AO631" s="7"/>
    </row>
    <row r="632" spans="1:41" ht="15.75" customHeight="1" x14ac:dyDescent="0.25">
      <c r="A632" s="4">
        <v>631</v>
      </c>
      <c r="B632" s="5" t="s">
        <v>464</v>
      </c>
      <c r="C632" s="58">
        <v>3.9</v>
      </c>
      <c r="D632" s="61" t="s">
        <v>997</v>
      </c>
      <c r="E632" s="72" t="s">
        <v>98</v>
      </c>
      <c r="F632" s="62" t="s">
        <v>114</v>
      </c>
      <c r="G632" s="8" t="s">
        <v>81</v>
      </c>
      <c r="H632" s="8">
        <v>2008</v>
      </c>
      <c r="I632" s="62" t="s">
        <v>89</v>
      </c>
      <c r="J632" s="62" t="s">
        <v>216</v>
      </c>
      <c r="K632" s="62" t="s">
        <v>111</v>
      </c>
      <c r="L632" s="62" t="s">
        <v>180</v>
      </c>
      <c r="M632" s="62" t="s">
        <v>47</v>
      </c>
      <c r="N632" s="5">
        <v>0</v>
      </c>
      <c r="O632" s="8">
        <v>0</v>
      </c>
      <c r="P632" s="69">
        <v>97000</v>
      </c>
      <c r="Q632" s="69">
        <v>181000</v>
      </c>
      <c r="R632" s="69">
        <v>139000</v>
      </c>
      <c r="S632" s="62" t="s">
        <v>102</v>
      </c>
      <c r="T632" s="8">
        <f t="shared" si="35"/>
        <v>15</v>
      </c>
      <c r="U632" s="8">
        <v>1</v>
      </c>
      <c r="V632" s="8">
        <v>0</v>
      </c>
      <c r="W632" s="8">
        <v>1</v>
      </c>
      <c r="X632" s="8">
        <v>1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62" t="s">
        <v>146</v>
      </c>
      <c r="AL632" s="62" t="s">
        <v>169</v>
      </c>
      <c r="AM632" s="62" t="s">
        <v>77</v>
      </c>
      <c r="AN632" s="5"/>
      <c r="AO632" s="7"/>
    </row>
    <row r="633" spans="1:41" ht="15.75" customHeight="1" x14ac:dyDescent="0.25">
      <c r="A633" s="4">
        <v>632</v>
      </c>
      <c r="B633" s="5" t="s">
        <v>464</v>
      </c>
      <c r="C633" s="58">
        <v>3.9</v>
      </c>
      <c r="D633" s="61" t="s">
        <v>638</v>
      </c>
      <c r="E633" s="72" t="s">
        <v>98</v>
      </c>
      <c r="F633" s="62" t="s">
        <v>114</v>
      </c>
      <c r="G633" s="8" t="s">
        <v>88</v>
      </c>
      <c r="H633" s="8">
        <v>2007</v>
      </c>
      <c r="I633" s="62" t="s">
        <v>44</v>
      </c>
      <c r="J633" s="62" t="s">
        <v>110</v>
      </c>
      <c r="K633" s="62" t="s">
        <v>111</v>
      </c>
      <c r="L633" s="62" t="s">
        <v>180</v>
      </c>
      <c r="M633" s="62" t="s">
        <v>639</v>
      </c>
      <c r="N633" s="5">
        <v>0</v>
      </c>
      <c r="O633" s="8">
        <v>0</v>
      </c>
      <c r="P633" s="69">
        <v>100000</v>
      </c>
      <c r="Q633" s="69">
        <v>173000</v>
      </c>
      <c r="R633" s="69">
        <v>136500</v>
      </c>
      <c r="S633" s="62" t="s">
        <v>102</v>
      </c>
      <c r="T633" s="8">
        <f t="shared" si="35"/>
        <v>16</v>
      </c>
      <c r="U633" s="8">
        <v>0</v>
      </c>
      <c r="V633" s="8">
        <v>0</v>
      </c>
      <c r="W633" s="8">
        <v>0</v>
      </c>
      <c r="X633" s="8">
        <v>0</v>
      </c>
      <c r="Y633" s="8">
        <v>1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62" t="s">
        <v>146</v>
      </c>
      <c r="AL633" s="62" t="s">
        <v>169</v>
      </c>
      <c r="AM633" s="62" t="s">
        <v>77</v>
      </c>
      <c r="AN633" s="5"/>
      <c r="AO633" s="7"/>
    </row>
    <row r="634" spans="1:41" ht="15.75" customHeight="1" x14ac:dyDescent="0.25">
      <c r="A634" s="4">
        <v>633</v>
      </c>
      <c r="B634" s="5" t="s">
        <v>791</v>
      </c>
      <c r="C634" s="58">
        <v>3.2</v>
      </c>
      <c r="D634" s="61" t="s">
        <v>1178</v>
      </c>
      <c r="E634" s="72" t="s">
        <v>79</v>
      </c>
      <c r="F634" s="62" t="s">
        <v>80</v>
      </c>
      <c r="G634" s="8" t="s">
        <v>88</v>
      </c>
      <c r="H634" s="8">
        <v>2008</v>
      </c>
      <c r="I634" s="62" t="s">
        <v>44</v>
      </c>
      <c r="J634" s="62" t="s">
        <v>110</v>
      </c>
      <c r="K634" s="62" t="s">
        <v>111</v>
      </c>
      <c r="L634" s="62" t="s">
        <v>83</v>
      </c>
      <c r="M634" s="62" t="s">
        <v>47</v>
      </c>
      <c r="N634" s="5">
        <v>0</v>
      </c>
      <c r="O634" s="8">
        <v>0</v>
      </c>
      <c r="P634" s="69">
        <v>58000</v>
      </c>
      <c r="Q634" s="69">
        <v>108000</v>
      </c>
      <c r="R634" s="69">
        <v>83000</v>
      </c>
      <c r="S634" s="62" t="s">
        <v>85</v>
      </c>
      <c r="T634" s="8">
        <f t="shared" si="35"/>
        <v>15</v>
      </c>
      <c r="U634" s="8">
        <v>1</v>
      </c>
      <c r="V634" s="8">
        <v>1</v>
      </c>
      <c r="W634" s="8">
        <v>0</v>
      </c>
      <c r="X634" s="8">
        <v>1</v>
      </c>
      <c r="Y634" s="8">
        <v>1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62" t="s">
        <v>132</v>
      </c>
      <c r="AL634" s="62" t="s">
        <v>169</v>
      </c>
      <c r="AM634" s="62" t="s">
        <v>77</v>
      </c>
      <c r="AN634" s="5"/>
      <c r="AO634" s="7"/>
    </row>
    <row r="635" spans="1:41" ht="15.75" customHeight="1" x14ac:dyDescent="0.25">
      <c r="A635" s="4">
        <v>634</v>
      </c>
      <c r="B635" s="5" t="s">
        <v>1179</v>
      </c>
      <c r="C635" s="58">
        <v>4.5999999999999996</v>
      </c>
      <c r="D635" s="61" t="s">
        <v>1180</v>
      </c>
      <c r="E635" s="72" t="s">
        <v>134</v>
      </c>
      <c r="F635" s="62" t="s">
        <v>134</v>
      </c>
      <c r="G635" s="8" t="s">
        <v>81</v>
      </c>
      <c r="H635" s="8">
        <v>1991</v>
      </c>
      <c r="I635" s="62" t="s">
        <v>142</v>
      </c>
      <c r="J635" s="62" t="s">
        <v>121</v>
      </c>
      <c r="K635" s="62" t="s">
        <v>65</v>
      </c>
      <c r="L635" s="62" t="s">
        <v>318</v>
      </c>
      <c r="M635" s="62" t="s">
        <v>1181</v>
      </c>
      <c r="N635" s="5">
        <v>0</v>
      </c>
      <c r="O635" s="8">
        <v>0</v>
      </c>
      <c r="P635" s="69">
        <v>81000</v>
      </c>
      <c r="Q635" s="69">
        <v>161000</v>
      </c>
      <c r="R635" s="69">
        <v>121000</v>
      </c>
      <c r="S635" s="62" t="s">
        <v>138</v>
      </c>
      <c r="T635" s="8">
        <f t="shared" si="35"/>
        <v>32</v>
      </c>
      <c r="U635" s="8">
        <v>0</v>
      </c>
      <c r="V635" s="8">
        <v>0</v>
      </c>
      <c r="W635" s="8">
        <v>1</v>
      </c>
      <c r="X635" s="8">
        <v>1</v>
      </c>
      <c r="Y635" s="8">
        <v>0</v>
      </c>
      <c r="Z635" s="8">
        <v>0</v>
      </c>
      <c r="AA635" s="8">
        <v>0</v>
      </c>
      <c r="AB635" s="8">
        <v>1</v>
      </c>
      <c r="AC635" s="8">
        <v>0</v>
      </c>
      <c r="AD635" s="8">
        <v>1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62" t="s">
        <v>107</v>
      </c>
      <c r="AL635" s="62" t="s">
        <v>169</v>
      </c>
      <c r="AM635" s="62" t="s">
        <v>108</v>
      </c>
      <c r="AN635" s="5"/>
      <c r="AO635" s="7"/>
    </row>
    <row r="636" spans="1:41" ht="15.75" customHeight="1" x14ac:dyDescent="0.25">
      <c r="A636" s="4">
        <v>635</v>
      </c>
      <c r="B636" s="5" t="s">
        <v>998</v>
      </c>
      <c r="C636" s="58">
        <v>3.8</v>
      </c>
      <c r="D636" s="61" t="s">
        <v>685</v>
      </c>
      <c r="E636" s="72" t="s">
        <v>79</v>
      </c>
      <c r="F636" s="62" t="s">
        <v>80</v>
      </c>
      <c r="G636" s="8" t="s">
        <v>70</v>
      </c>
      <c r="H636" s="8">
        <v>2002</v>
      </c>
      <c r="I636" s="62" t="s">
        <v>44</v>
      </c>
      <c r="J636" s="62" t="s">
        <v>517</v>
      </c>
      <c r="K636" s="62" t="s">
        <v>518</v>
      </c>
      <c r="L636" s="62" t="s">
        <v>60</v>
      </c>
      <c r="M636" s="62" t="s">
        <v>686</v>
      </c>
      <c r="N636" s="5">
        <v>0</v>
      </c>
      <c r="O636" s="8">
        <v>0</v>
      </c>
      <c r="P636" s="69">
        <v>53000</v>
      </c>
      <c r="Q636" s="69">
        <v>96000</v>
      </c>
      <c r="R636" s="69">
        <v>74500</v>
      </c>
      <c r="S636" s="62" t="s">
        <v>85</v>
      </c>
      <c r="T636" s="8">
        <f t="shared" si="35"/>
        <v>21</v>
      </c>
      <c r="U636" s="8">
        <v>1</v>
      </c>
      <c r="V636" s="8">
        <v>1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62" t="s">
        <v>49</v>
      </c>
      <c r="AL636" s="62" t="s">
        <v>50</v>
      </c>
      <c r="AM636" s="62" t="s">
        <v>77</v>
      </c>
      <c r="AN636" s="5"/>
      <c r="AO636" s="7"/>
    </row>
    <row r="637" spans="1:41" ht="15.75" customHeight="1" x14ac:dyDescent="0.25">
      <c r="A637" s="4">
        <v>636</v>
      </c>
      <c r="B637" s="5" t="s">
        <v>1182</v>
      </c>
      <c r="C637" s="58">
        <v>2.2000000000000002</v>
      </c>
      <c r="D637" s="61" t="s">
        <v>1183</v>
      </c>
      <c r="E637" s="72" t="s">
        <v>98</v>
      </c>
      <c r="F637" s="62" t="s">
        <v>114</v>
      </c>
      <c r="G637" s="8" t="s">
        <v>43</v>
      </c>
      <c r="H637" s="8">
        <v>2002</v>
      </c>
      <c r="I637" s="62" t="s">
        <v>44</v>
      </c>
      <c r="J637" s="62" t="s">
        <v>1184</v>
      </c>
      <c r="K637" s="62" t="s">
        <v>116</v>
      </c>
      <c r="L637" s="62" t="s">
        <v>83</v>
      </c>
      <c r="M637" s="62" t="s">
        <v>47</v>
      </c>
      <c r="N637" s="5">
        <v>0</v>
      </c>
      <c r="O637" s="8">
        <v>0</v>
      </c>
      <c r="P637" s="69">
        <v>61000</v>
      </c>
      <c r="Q637" s="69">
        <v>110000</v>
      </c>
      <c r="R637" s="69">
        <v>85500</v>
      </c>
      <c r="S637" s="62" t="s">
        <v>102</v>
      </c>
      <c r="T637" s="8">
        <f t="shared" si="35"/>
        <v>21</v>
      </c>
      <c r="U637" s="8">
        <v>0</v>
      </c>
      <c r="V637" s="8">
        <v>0</v>
      </c>
      <c r="W637" s="8">
        <v>0</v>
      </c>
      <c r="X637" s="8">
        <v>1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62" t="s">
        <v>132</v>
      </c>
      <c r="AL637" s="62" t="s">
        <v>50</v>
      </c>
      <c r="AM637" s="62" t="s">
        <v>77</v>
      </c>
      <c r="AN637" s="5"/>
      <c r="AO637" s="7"/>
    </row>
    <row r="638" spans="1:41" ht="15.75" customHeight="1" x14ac:dyDescent="0.25">
      <c r="A638" s="4">
        <v>637</v>
      </c>
      <c r="B638" s="5" t="s">
        <v>999</v>
      </c>
      <c r="C638" s="58">
        <v>3.1</v>
      </c>
      <c r="D638" s="61" t="s">
        <v>833</v>
      </c>
      <c r="E638" s="72" t="s">
        <v>871</v>
      </c>
      <c r="F638" s="62" t="s">
        <v>835</v>
      </c>
      <c r="G638" s="8" t="s">
        <v>120</v>
      </c>
      <c r="H638" s="8">
        <v>1875</v>
      </c>
      <c r="I638" s="62" t="s">
        <v>44</v>
      </c>
      <c r="J638" s="62" t="s">
        <v>499</v>
      </c>
      <c r="K638" s="62" t="s">
        <v>427</v>
      </c>
      <c r="L638" s="62" t="s">
        <v>128</v>
      </c>
      <c r="M638" s="62" t="s">
        <v>47</v>
      </c>
      <c r="N638" s="5">
        <v>0</v>
      </c>
      <c r="O638" s="8">
        <v>0</v>
      </c>
      <c r="P638" s="69">
        <v>65000</v>
      </c>
      <c r="Q638" s="69">
        <v>96000</v>
      </c>
      <c r="R638" s="69">
        <v>80500</v>
      </c>
      <c r="S638" s="62" t="s">
        <v>423</v>
      </c>
      <c r="T638" s="8">
        <f t="shared" si="35"/>
        <v>148</v>
      </c>
      <c r="U638" s="8">
        <v>0</v>
      </c>
      <c r="V638" s="8">
        <v>0</v>
      </c>
      <c r="W638" s="8">
        <v>0</v>
      </c>
      <c r="X638" s="8">
        <v>1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62" t="s">
        <v>107</v>
      </c>
      <c r="AL638" s="62" t="s">
        <v>169</v>
      </c>
      <c r="AM638" s="62" t="s">
        <v>51</v>
      </c>
      <c r="AN638" s="5"/>
      <c r="AO638" s="7"/>
    </row>
    <row r="639" spans="1:41" ht="15.75" customHeight="1" x14ac:dyDescent="0.25">
      <c r="A639" s="4">
        <v>638</v>
      </c>
      <c r="B639" s="5" t="s">
        <v>1185</v>
      </c>
      <c r="C639" s="58">
        <v>4.5999999999999996</v>
      </c>
      <c r="D639" s="61" t="s">
        <v>1180</v>
      </c>
      <c r="E639" s="72" t="s">
        <v>134</v>
      </c>
      <c r="F639" s="62" t="s">
        <v>134</v>
      </c>
      <c r="G639" s="8" t="s">
        <v>81</v>
      </c>
      <c r="H639" s="8">
        <v>1991</v>
      </c>
      <c r="I639" s="62" t="s">
        <v>142</v>
      </c>
      <c r="J639" s="62" t="s">
        <v>121</v>
      </c>
      <c r="K639" s="62" t="s">
        <v>65</v>
      </c>
      <c r="L639" s="62" t="s">
        <v>318</v>
      </c>
      <c r="M639" s="62" t="s">
        <v>1181</v>
      </c>
      <c r="N639" s="5">
        <v>0</v>
      </c>
      <c r="O639" s="8">
        <v>0</v>
      </c>
      <c r="P639" s="69">
        <v>115000</v>
      </c>
      <c r="Q639" s="69">
        <v>220000</v>
      </c>
      <c r="R639" s="69">
        <v>167500</v>
      </c>
      <c r="S639" s="62" t="s">
        <v>138</v>
      </c>
      <c r="T639" s="8">
        <f t="shared" si="35"/>
        <v>32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62" t="s">
        <v>107</v>
      </c>
      <c r="AL639" s="62" t="s">
        <v>169</v>
      </c>
      <c r="AM639" s="62" t="s">
        <v>108</v>
      </c>
      <c r="AN639" s="5"/>
      <c r="AO639" s="7"/>
    </row>
    <row r="640" spans="1:41" ht="15.75" customHeight="1" x14ac:dyDescent="0.25">
      <c r="A640" s="4">
        <v>639</v>
      </c>
      <c r="B640" s="5" t="s">
        <v>1186</v>
      </c>
      <c r="C640" s="58">
        <v>2.6</v>
      </c>
      <c r="D640" s="61" t="s">
        <v>530</v>
      </c>
      <c r="E640" s="72" t="s">
        <v>342</v>
      </c>
      <c r="F640" s="62" t="s">
        <v>342</v>
      </c>
      <c r="G640" s="8" t="s">
        <v>43</v>
      </c>
      <c r="H640" s="8">
        <v>1984</v>
      </c>
      <c r="I640" s="62" t="s">
        <v>531</v>
      </c>
      <c r="J640" s="62" t="s">
        <v>532</v>
      </c>
      <c r="K640" s="62" t="s">
        <v>415</v>
      </c>
      <c r="L640" s="62" t="s">
        <v>83</v>
      </c>
      <c r="M640" s="62" t="s">
        <v>47</v>
      </c>
      <c r="N640" s="5">
        <v>0</v>
      </c>
      <c r="O640" s="8">
        <v>0</v>
      </c>
      <c r="P640" s="69">
        <v>71000</v>
      </c>
      <c r="Q640" s="69">
        <v>144000</v>
      </c>
      <c r="R640" s="69">
        <v>107500</v>
      </c>
      <c r="S640" s="62" t="s">
        <v>305</v>
      </c>
      <c r="T640" s="8">
        <f t="shared" si="35"/>
        <v>39</v>
      </c>
      <c r="U640" s="8">
        <v>1</v>
      </c>
      <c r="V640" s="8">
        <v>0</v>
      </c>
      <c r="W640" s="8">
        <v>0</v>
      </c>
      <c r="X640" s="8">
        <v>0</v>
      </c>
      <c r="Y640" s="8">
        <v>1</v>
      </c>
      <c r="Z640" s="8">
        <v>0</v>
      </c>
      <c r="AA640" s="8">
        <v>0</v>
      </c>
      <c r="AB640" s="8">
        <v>0</v>
      </c>
      <c r="AC640" s="8">
        <v>1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62" t="s">
        <v>508</v>
      </c>
      <c r="AL640" s="62" t="s">
        <v>50</v>
      </c>
      <c r="AM640" s="62" t="s">
        <v>108</v>
      </c>
      <c r="AN640" s="5"/>
      <c r="AO640" s="7"/>
    </row>
    <row r="641" spans="1:41" ht="15.75" customHeight="1" x14ac:dyDescent="0.25">
      <c r="A641" s="4">
        <v>640</v>
      </c>
      <c r="B641" s="5" t="s">
        <v>1187</v>
      </c>
      <c r="C641" s="58">
        <v>3.4</v>
      </c>
      <c r="D641" s="61" t="s">
        <v>1188</v>
      </c>
      <c r="E641" s="72" t="s">
        <v>99</v>
      </c>
      <c r="F641" s="62" t="s">
        <v>99</v>
      </c>
      <c r="G641" s="8" t="s">
        <v>43</v>
      </c>
      <c r="H641" s="8">
        <v>1979</v>
      </c>
      <c r="I641" s="62" t="s">
        <v>160</v>
      </c>
      <c r="J641" s="62" t="s">
        <v>704</v>
      </c>
      <c r="K641" s="62" t="s">
        <v>524</v>
      </c>
      <c r="L641" s="62" t="s">
        <v>101</v>
      </c>
      <c r="M641" s="62" t="s">
        <v>47</v>
      </c>
      <c r="N641" s="5">
        <v>0</v>
      </c>
      <c r="O641" s="8">
        <v>0</v>
      </c>
      <c r="P641" s="69">
        <v>32000</v>
      </c>
      <c r="Q641" s="69">
        <v>57000</v>
      </c>
      <c r="R641" s="69">
        <v>44500</v>
      </c>
      <c r="S641" s="62" t="s">
        <v>76</v>
      </c>
      <c r="T641" s="8">
        <f t="shared" si="35"/>
        <v>44</v>
      </c>
      <c r="U641" s="8">
        <v>0</v>
      </c>
      <c r="V641" s="8">
        <v>0</v>
      </c>
      <c r="W641" s="8">
        <v>1</v>
      </c>
      <c r="X641" s="8">
        <v>1</v>
      </c>
      <c r="Y641" s="8">
        <v>1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62" t="s">
        <v>132</v>
      </c>
      <c r="AL641" s="62" t="s">
        <v>50</v>
      </c>
      <c r="AM641" s="62" t="s">
        <v>77</v>
      </c>
      <c r="AN641" s="5"/>
      <c r="AO641" s="7"/>
    </row>
    <row r="642" spans="1:41" ht="15.75" customHeight="1" x14ac:dyDescent="0.25">
      <c r="A642" s="4">
        <v>641</v>
      </c>
      <c r="B642" s="5" t="s">
        <v>1189</v>
      </c>
      <c r="C642" s="58">
        <v>3.3</v>
      </c>
      <c r="D642" s="61" t="s">
        <v>1190</v>
      </c>
      <c r="E642" s="72" t="s">
        <v>1191</v>
      </c>
      <c r="F642" s="62" t="s">
        <v>55</v>
      </c>
      <c r="G642" s="8" t="s">
        <v>70</v>
      </c>
      <c r="H642" s="8">
        <v>1889</v>
      </c>
      <c r="I642" s="62" t="s">
        <v>44</v>
      </c>
      <c r="J642" s="62" t="s">
        <v>58</v>
      </c>
      <c r="K642" s="62" t="s">
        <v>59</v>
      </c>
      <c r="L642" s="62" t="s">
        <v>74</v>
      </c>
      <c r="M642" s="62" t="s">
        <v>1192</v>
      </c>
      <c r="N642" s="5">
        <v>0</v>
      </c>
      <c r="O642" s="8">
        <v>0</v>
      </c>
      <c r="P642" s="69">
        <v>79000</v>
      </c>
      <c r="Q642" s="69">
        <v>136000</v>
      </c>
      <c r="R642" s="69">
        <v>107500</v>
      </c>
      <c r="S642" s="62" t="s">
        <v>61</v>
      </c>
      <c r="T642" s="8">
        <f t="shared" si="35"/>
        <v>134</v>
      </c>
      <c r="U642" s="8">
        <v>0</v>
      </c>
      <c r="V642" s="8">
        <v>0</v>
      </c>
      <c r="W642" s="8">
        <v>0</v>
      </c>
      <c r="X642" s="8">
        <v>0</v>
      </c>
      <c r="Y642" s="8">
        <v>1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62" t="s">
        <v>132</v>
      </c>
      <c r="AL642" s="62" t="s">
        <v>169</v>
      </c>
      <c r="AM642" s="62" t="s">
        <v>51</v>
      </c>
      <c r="AN642" s="5"/>
      <c r="AO642" s="7"/>
    </row>
    <row r="643" spans="1:41" ht="15.75" customHeight="1" x14ac:dyDescent="0.25">
      <c r="A643" s="4">
        <v>642</v>
      </c>
      <c r="B643" s="5" t="s">
        <v>1193</v>
      </c>
      <c r="C643" s="58">
        <v>0</v>
      </c>
      <c r="D643" s="61" t="s">
        <v>898</v>
      </c>
      <c r="E643" s="72" t="s">
        <v>134</v>
      </c>
      <c r="F643" s="62" t="s">
        <v>899</v>
      </c>
      <c r="G643" s="8">
        <v>500</v>
      </c>
      <c r="H643" s="8" t="s">
        <v>47</v>
      </c>
      <c r="I643" s="62" t="s">
        <v>44</v>
      </c>
      <c r="J643" s="62" t="s">
        <v>47</v>
      </c>
      <c r="K643" s="62" t="s">
        <v>47</v>
      </c>
      <c r="L643" s="62" t="s">
        <v>83</v>
      </c>
      <c r="M643" s="62" t="s">
        <v>47</v>
      </c>
      <c r="N643" s="5">
        <v>0</v>
      </c>
      <c r="O643" s="8">
        <v>1</v>
      </c>
      <c r="P643" s="69">
        <v>120000</v>
      </c>
      <c r="Q643" s="69">
        <v>145000</v>
      </c>
      <c r="R643" s="69">
        <v>132500</v>
      </c>
      <c r="S643" s="62" t="s">
        <v>138</v>
      </c>
      <c r="T643" s="8" t="s">
        <v>47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62" t="s">
        <v>107</v>
      </c>
      <c r="AL643" s="62" t="s">
        <v>169</v>
      </c>
      <c r="AM643" s="62" t="s">
        <v>108</v>
      </c>
      <c r="AN643" s="5"/>
      <c r="AO643" s="7"/>
    </row>
    <row r="644" spans="1:41" ht="15.75" customHeight="1" x14ac:dyDescent="0.25">
      <c r="A644" s="4">
        <v>643</v>
      </c>
      <c r="B644" s="5" t="s">
        <v>791</v>
      </c>
      <c r="C644" s="58">
        <v>3.7</v>
      </c>
      <c r="D644" s="61" t="s">
        <v>1194</v>
      </c>
      <c r="E644" s="72" t="s">
        <v>315</v>
      </c>
      <c r="F644" s="62" t="s">
        <v>750</v>
      </c>
      <c r="G644" s="8" t="s">
        <v>88</v>
      </c>
      <c r="H644" s="8">
        <v>1994</v>
      </c>
      <c r="I644" s="62" t="s">
        <v>44</v>
      </c>
      <c r="J644" s="62" t="s">
        <v>58</v>
      </c>
      <c r="K644" s="62" t="s">
        <v>59</v>
      </c>
      <c r="L644" s="62" t="s">
        <v>74</v>
      </c>
      <c r="M644" s="62" t="s">
        <v>47</v>
      </c>
      <c r="N644" s="5">
        <v>0</v>
      </c>
      <c r="O644" s="8">
        <v>0</v>
      </c>
      <c r="P644" s="69">
        <v>50000</v>
      </c>
      <c r="Q644" s="69">
        <v>89000</v>
      </c>
      <c r="R644" s="69">
        <v>69500</v>
      </c>
      <c r="S644" s="62" t="s">
        <v>305</v>
      </c>
      <c r="T644" s="8">
        <f t="shared" ref="T644:T659" si="36">2023-H644</f>
        <v>29</v>
      </c>
      <c r="U644" s="8">
        <v>0</v>
      </c>
      <c r="V644" s="8">
        <v>0</v>
      </c>
      <c r="W644" s="8">
        <v>0</v>
      </c>
      <c r="X644" s="8">
        <v>1</v>
      </c>
      <c r="Y644" s="8">
        <v>1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1</v>
      </c>
      <c r="AG644" s="8">
        <v>1</v>
      </c>
      <c r="AH644" s="8">
        <v>0</v>
      </c>
      <c r="AI644" s="8">
        <v>0</v>
      </c>
      <c r="AJ644" s="8">
        <v>0</v>
      </c>
      <c r="AK644" s="62" t="s">
        <v>132</v>
      </c>
      <c r="AL644" s="62" t="s">
        <v>169</v>
      </c>
      <c r="AM644" s="62" t="s">
        <v>77</v>
      </c>
      <c r="AN644" s="5"/>
      <c r="AO644" s="7"/>
    </row>
    <row r="645" spans="1:41" ht="15.75" customHeight="1" x14ac:dyDescent="0.25">
      <c r="A645" s="4">
        <v>644</v>
      </c>
      <c r="B645" s="5" t="s">
        <v>1195</v>
      </c>
      <c r="C645" s="58">
        <v>3.5</v>
      </c>
      <c r="D645" s="61" t="s">
        <v>562</v>
      </c>
      <c r="E645" s="72" t="s">
        <v>1196</v>
      </c>
      <c r="F645" s="62" t="s">
        <v>189</v>
      </c>
      <c r="G645" s="8" t="s">
        <v>56</v>
      </c>
      <c r="H645" s="8">
        <v>1970</v>
      </c>
      <c r="I645" s="62" t="s">
        <v>89</v>
      </c>
      <c r="J645" s="62" t="s">
        <v>216</v>
      </c>
      <c r="K645" s="62" t="s">
        <v>111</v>
      </c>
      <c r="L645" s="62" t="s">
        <v>128</v>
      </c>
      <c r="M645" s="62" t="s">
        <v>563</v>
      </c>
      <c r="N645" s="5">
        <v>0</v>
      </c>
      <c r="O645" s="8">
        <v>0</v>
      </c>
      <c r="P645" s="69">
        <v>68000</v>
      </c>
      <c r="Q645" s="69">
        <v>129000</v>
      </c>
      <c r="R645" s="69">
        <v>98500</v>
      </c>
      <c r="S645" s="62" t="s">
        <v>102</v>
      </c>
      <c r="T645" s="8">
        <f t="shared" si="36"/>
        <v>53</v>
      </c>
      <c r="U645" s="8">
        <v>1</v>
      </c>
      <c r="V645" s="8">
        <v>1</v>
      </c>
      <c r="W645" s="8">
        <v>1</v>
      </c>
      <c r="X645" s="8">
        <v>0</v>
      </c>
      <c r="Y645" s="8">
        <v>1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1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62" t="s">
        <v>107</v>
      </c>
      <c r="AL645" s="62" t="s">
        <v>169</v>
      </c>
      <c r="AM645" s="62" t="s">
        <v>77</v>
      </c>
      <c r="AN645" s="5"/>
      <c r="AO645" s="7"/>
    </row>
    <row r="646" spans="1:41" ht="15.75" customHeight="1" x14ac:dyDescent="0.25">
      <c r="A646" s="4">
        <v>645</v>
      </c>
      <c r="B646" s="5" t="s">
        <v>1197</v>
      </c>
      <c r="C646" s="58">
        <v>2.7</v>
      </c>
      <c r="D646" s="61" t="s">
        <v>673</v>
      </c>
      <c r="E646" s="72" t="s">
        <v>454</v>
      </c>
      <c r="F646" s="62" t="s">
        <v>454</v>
      </c>
      <c r="G646" s="8" t="s">
        <v>88</v>
      </c>
      <c r="H646" s="8">
        <v>1961</v>
      </c>
      <c r="I646" s="62" t="s">
        <v>44</v>
      </c>
      <c r="J646" s="62" t="s">
        <v>136</v>
      </c>
      <c r="K646" s="62" t="s">
        <v>136</v>
      </c>
      <c r="L646" s="62" t="s">
        <v>101</v>
      </c>
      <c r="M646" s="62" t="s">
        <v>47</v>
      </c>
      <c r="N646" s="5">
        <v>0</v>
      </c>
      <c r="O646" s="8">
        <v>0</v>
      </c>
      <c r="P646" s="69">
        <v>48000</v>
      </c>
      <c r="Q646" s="69">
        <v>113000</v>
      </c>
      <c r="R646" s="69">
        <v>80500</v>
      </c>
      <c r="S646" s="62" t="s">
        <v>61</v>
      </c>
      <c r="T646" s="8">
        <f t="shared" si="36"/>
        <v>62</v>
      </c>
      <c r="U646" s="8">
        <v>0</v>
      </c>
      <c r="V646" s="8">
        <v>0</v>
      </c>
      <c r="W646" s="8">
        <v>0</v>
      </c>
      <c r="X646" s="8">
        <v>1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62" t="s">
        <v>107</v>
      </c>
      <c r="AL646" s="62" t="s">
        <v>50</v>
      </c>
      <c r="AM646" s="62" t="s">
        <v>77</v>
      </c>
      <c r="AN646" s="5"/>
      <c r="AO646" s="7"/>
    </row>
    <row r="647" spans="1:41" ht="15.75" customHeight="1" x14ac:dyDescent="0.25">
      <c r="A647" s="4">
        <v>646</v>
      </c>
      <c r="B647" s="5" t="s">
        <v>1198</v>
      </c>
      <c r="C647" s="58">
        <v>3.8</v>
      </c>
      <c r="D647" s="61" t="s">
        <v>1199</v>
      </c>
      <c r="E647" s="72" t="s">
        <v>1200</v>
      </c>
      <c r="F647" s="62" t="s">
        <v>1200</v>
      </c>
      <c r="G647" s="8" t="s">
        <v>81</v>
      </c>
      <c r="H647" s="8">
        <v>2008</v>
      </c>
      <c r="I647" s="62" t="s">
        <v>44</v>
      </c>
      <c r="J647" s="62" t="s">
        <v>136</v>
      </c>
      <c r="K647" s="62" t="s">
        <v>136</v>
      </c>
      <c r="L647" s="62" t="s">
        <v>180</v>
      </c>
      <c r="M647" s="62" t="s">
        <v>47</v>
      </c>
      <c r="N647" s="5">
        <v>1</v>
      </c>
      <c r="O647" s="8">
        <v>0</v>
      </c>
      <c r="P647" s="69">
        <v>56000</v>
      </c>
      <c r="Q647" s="69">
        <v>97000</v>
      </c>
      <c r="R647" s="69">
        <v>76500</v>
      </c>
      <c r="S647" s="62" t="s">
        <v>138</v>
      </c>
      <c r="T647" s="8">
        <f t="shared" si="36"/>
        <v>15</v>
      </c>
      <c r="U647" s="8">
        <v>0</v>
      </c>
      <c r="V647" s="8">
        <v>0</v>
      </c>
      <c r="W647" s="8">
        <v>0</v>
      </c>
      <c r="X647" s="8">
        <v>1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62" t="s">
        <v>107</v>
      </c>
      <c r="AL647" s="62" t="s">
        <v>50</v>
      </c>
      <c r="AM647" s="62" t="s">
        <v>77</v>
      </c>
      <c r="AN647" s="5"/>
      <c r="AO647" s="7"/>
    </row>
    <row r="648" spans="1:41" ht="15.75" customHeight="1" x14ac:dyDescent="0.25">
      <c r="A648" s="4">
        <v>647</v>
      </c>
      <c r="B648" s="5" t="s">
        <v>1201</v>
      </c>
      <c r="C648" s="58">
        <v>3.7</v>
      </c>
      <c r="D648" s="61" t="s">
        <v>983</v>
      </c>
      <c r="E648" s="72" t="s">
        <v>1202</v>
      </c>
      <c r="F648" s="62" t="s">
        <v>782</v>
      </c>
      <c r="G648" s="8" t="s">
        <v>56</v>
      </c>
      <c r="H648" s="8">
        <v>1922</v>
      </c>
      <c r="I648" s="62" t="s">
        <v>89</v>
      </c>
      <c r="J648" s="62" t="s">
        <v>45</v>
      </c>
      <c r="K648" s="62" t="s">
        <v>45</v>
      </c>
      <c r="L648" s="62" t="s">
        <v>128</v>
      </c>
      <c r="M648" s="62" t="s">
        <v>47</v>
      </c>
      <c r="N648" s="5">
        <v>0</v>
      </c>
      <c r="O648" s="8">
        <v>0</v>
      </c>
      <c r="P648" s="69">
        <v>74000</v>
      </c>
      <c r="Q648" s="69">
        <v>124000</v>
      </c>
      <c r="R648" s="69">
        <v>99000</v>
      </c>
      <c r="S648" s="62" t="s">
        <v>61</v>
      </c>
      <c r="T648" s="8">
        <f t="shared" si="36"/>
        <v>101</v>
      </c>
      <c r="U648" s="8">
        <v>1</v>
      </c>
      <c r="V648" s="8">
        <v>0</v>
      </c>
      <c r="W648" s="8">
        <v>0</v>
      </c>
      <c r="X648" s="8">
        <v>0</v>
      </c>
      <c r="Y648" s="8">
        <v>1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62" t="s">
        <v>107</v>
      </c>
      <c r="AL648" s="62" t="s">
        <v>50</v>
      </c>
      <c r="AM648" s="62" t="s">
        <v>77</v>
      </c>
      <c r="AN648" s="5"/>
      <c r="AO648" s="7"/>
    </row>
    <row r="649" spans="1:41" ht="15.75" customHeight="1" x14ac:dyDescent="0.25">
      <c r="A649" s="4">
        <v>648</v>
      </c>
      <c r="B649" s="5" t="s">
        <v>1203</v>
      </c>
      <c r="C649" s="58">
        <v>3.8</v>
      </c>
      <c r="D649" s="61" t="s">
        <v>940</v>
      </c>
      <c r="E649" s="72" t="s">
        <v>134</v>
      </c>
      <c r="F649" s="62" t="s">
        <v>134</v>
      </c>
      <c r="G649" s="8" t="s">
        <v>43</v>
      </c>
      <c r="H649" s="8">
        <v>2008</v>
      </c>
      <c r="I649" s="62" t="s">
        <v>89</v>
      </c>
      <c r="J649" s="62" t="s">
        <v>136</v>
      </c>
      <c r="K649" s="62" t="s">
        <v>136</v>
      </c>
      <c r="L649" s="62" t="s">
        <v>46</v>
      </c>
      <c r="M649" s="62" t="s">
        <v>47</v>
      </c>
      <c r="N649" s="5">
        <v>0</v>
      </c>
      <c r="O649" s="8">
        <v>0</v>
      </c>
      <c r="P649" s="69">
        <v>68000</v>
      </c>
      <c r="Q649" s="69">
        <v>125000</v>
      </c>
      <c r="R649" s="69">
        <v>96500</v>
      </c>
      <c r="S649" s="62" t="s">
        <v>138</v>
      </c>
      <c r="T649" s="8">
        <f t="shared" si="36"/>
        <v>15</v>
      </c>
      <c r="U649" s="8">
        <v>0</v>
      </c>
      <c r="V649" s="8">
        <v>0</v>
      </c>
      <c r="W649" s="8">
        <v>0</v>
      </c>
      <c r="X649" s="8">
        <v>1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62" t="s">
        <v>486</v>
      </c>
      <c r="AL649" s="62" t="s">
        <v>50</v>
      </c>
      <c r="AM649" s="62" t="s">
        <v>77</v>
      </c>
      <c r="AN649" s="5"/>
      <c r="AO649" s="7"/>
    </row>
    <row r="650" spans="1:41" ht="15.75" customHeight="1" x14ac:dyDescent="0.25">
      <c r="A650" s="4">
        <v>649</v>
      </c>
      <c r="B650" s="5" t="s">
        <v>1204</v>
      </c>
      <c r="C650" s="58">
        <v>3.3</v>
      </c>
      <c r="D650" s="61" t="s">
        <v>268</v>
      </c>
      <c r="E650" s="72" t="s">
        <v>269</v>
      </c>
      <c r="F650" s="62" t="s">
        <v>269</v>
      </c>
      <c r="G650" s="8" t="s">
        <v>56</v>
      </c>
      <c r="H650" s="8">
        <v>1912</v>
      </c>
      <c r="I650" s="62" t="s">
        <v>44</v>
      </c>
      <c r="J650" s="62" t="s">
        <v>161</v>
      </c>
      <c r="K650" s="62" t="s">
        <v>162</v>
      </c>
      <c r="L650" s="62" t="s">
        <v>128</v>
      </c>
      <c r="M650" s="62" t="s">
        <v>270</v>
      </c>
      <c r="N650" s="5">
        <v>0</v>
      </c>
      <c r="O650" s="8">
        <v>0</v>
      </c>
      <c r="P650" s="69">
        <v>39000</v>
      </c>
      <c r="Q650" s="69">
        <v>67000</v>
      </c>
      <c r="R650" s="69">
        <v>53000</v>
      </c>
      <c r="S650" s="62" t="s">
        <v>138</v>
      </c>
      <c r="T650" s="8">
        <f t="shared" si="36"/>
        <v>111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62" t="s">
        <v>49</v>
      </c>
      <c r="AL650" s="62" t="s">
        <v>50</v>
      </c>
      <c r="AM650" s="62" t="s">
        <v>51</v>
      </c>
      <c r="AN650" s="5"/>
      <c r="AO650" s="7"/>
    </row>
    <row r="651" spans="1:41" ht="15.75" customHeight="1" x14ac:dyDescent="0.25">
      <c r="A651" s="4">
        <v>650</v>
      </c>
      <c r="B651" s="5" t="s">
        <v>1205</v>
      </c>
      <c r="C651" s="58">
        <v>2.7</v>
      </c>
      <c r="D651" s="61" t="s">
        <v>1206</v>
      </c>
      <c r="E651" s="72" t="s">
        <v>461</v>
      </c>
      <c r="F651" s="62" t="s">
        <v>462</v>
      </c>
      <c r="G651" s="8">
        <v>500</v>
      </c>
      <c r="H651" s="8">
        <v>2011</v>
      </c>
      <c r="I651" s="62" t="s">
        <v>44</v>
      </c>
      <c r="J651" s="62" t="s">
        <v>155</v>
      </c>
      <c r="K651" s="62" t="s">
        <v>111</v>
      </c>
      <c r="L651" s="62" t="s">
        <v>83</v>
      </c>
      <c r="M651" s="62" t="s">
        <v>47</v>
      </c>
      <c r="N651" s="5">
        <v>0</v>
      </c>
      <c r="O651" s="8">
        <v>0</v>
      </c>
      <c r="P651" s="69">
        <v>71000</v>
      </c>
      <c r="Q651" s="69">
        <v>135000</v>
      </c>
      <c r="R651" s="69">
        <v>103000</v>
      </c>
      <c r="S651" s="62" t="s">
        <v>102</v>
      </c>
      <c r="T651" s="8">
        <f t="shared" si="36"/>
        <v>12</v>
      </c>
      <c r="U651" s="8">
        <v>0</v>
      </c>
      <c r="V651" s="8">
        <v>1</v>
      </c>
      <c r="W651" s="8">
        <v>1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1</v>
      </c>
      <c r="AF651" s="8">
        <v>0</v>
      </c>
      <c r="AG651" s="8">
        <v>0</v>
      </c>
      <c r="AH651" s="8">
        <v>1</v>
      </c>
      <c r="AI651" s="8">
        <v>0</v>
      </c>
      <c r="AJ651" s="8">
        <v>0</v>
      </c>
      <c r="AK651" s="62" t="s">
        <v>146</v>
      </c>
      <c r="AL651" s="62" t="s">
        <v>169</v>
      </c>
      <c r="AM651" s="62" t="s">
        <v>77</v>
      </c>
      <c r="AN651" s="5"/>
      <c r="AO651" s="7"/>
    </row>
    <row r="652" spans="1:41" ht="15.75" customHeight="1" x14ac:dyDescent="0.25">
      <c r="A652" s="4">
        <v>651</v>
      </c>
      <c r="B652" s="5" t="s">
        <v>294</v>
      </c>
      <c r="C652" s="58">
        <v>3.8</v>
      </c>
      <c r="D652" s="61" t="s">
        <v>295</v>
      </c>
      <c r="E652" s="72" t="s">
        <v>296</v>
      </c>
      <c r="F652" s="62" t="s">
        <v>297</v>
      </c>
      <c r="G652" s="8" t="s">
        <v>43</v>
      </c>
      <c r="H652" s="8">
        <v>2006</v>
      </c>
      <c r="I652" s="62" t="s">
        <v>89</v>
      </c>
      <c r="J652" s="62" t="s">
        <v>298</v>
      </c>
      <c r="K652" s="62" t="s">
        <v>96</v>
      </c>
      <c r="L652" s="62" t="s">
        <v>46</v>
      </c>
      <c r="M652" s="62" t="s">
        <v>47</v>
      </c>
      <c r="N652" s="5">
        <v>0</v>
      </c>
      <c r="O652" s="8">
        <v>0</v>
      </c>
      <c r="P652" s="69">
        <v>107000</v>
      </c>
      <c r="Q652" s="69">
        <v>172000</v>
      </c>
      <c r="R652" s="69">
        <v>139500</v>
      </c>
      <c r="S652" s="62" t="s">
        <v>102</v>
      </c>
      <c r="T652" s="8">
        <f t="shared" si="36"/>
        <v>17</v>
      </c>
      <c r="U652" s="8">
        <v>0</v>
      </c>
      <c r="V652" s="8">
        <v>0</v>
      </c>
      <c r="W652" s="8">
        <v>0</v>
      </c>
      <c r="X652" s="8">
        <v>0</v>
      </c>
      <c r="Y652" s="8">
        <v>1</v>
      </c>
      <c r="Z652" s="8">
        <v>1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62" t="s">
        <v>49</v>
      </c>
      <c r="AL652" s="62" t="s">
        <v>169</v>
      </c>
      <c r="AM652" s="62" t="s">
        <v>51</v>
      </c>
      <c r="AN652" s="5"/>
      <c r="AO652" s="7"/>
    </row>
    <row r="653" spans="1:41" ht="15.75" customHeight="1" x14ac:dyDescent="0.25">
      <c r="A653" s="4">
        <v>652</v>
      </c>
      <c r="B653" s="5" t="s">
        <v>299</v>
      </c>
      <c r="C653" s="58">
        <v>3.8</v>
      </c>
      <c r="D653" s="61" t="s">
        <v>300</v>
      </c>
      <c r="E653" s="72" t="s">
        <v>69</v>
      </c>
      <c r="F653" s="62" t="s">
        <v>69</v>
      </c>
      <c r="G653" s="8" t="s">
        <v>70</v>
      </c>
      <c r="H653" s="8">
        <v>1965</v>
      </c>
      <c r="I653" s="62" t="s">
        <v>71</v>
      </c>
      <c r="J653" s="62" t="s">
        <v>72</v>
      </c>
      <c r="K653" s="62" t="s">
        <v>73</v>
      </c>
      <c r="L653" s="62" t="s">
        <v>74</v>
      </c>
      <c r="M653" s="62" t="s">
        <v>75</v>
      </c>
      <c r="N653" s="5">
        <v>0</v>
      </c>
      <c r="O653" s="8">
        <v>0</v>
      </c>
      <c r="P653" s="69">
        <v>49000</v>
      </c>
      <c r="Q653" s="69">
        <v>85000</v>
      </c>
      <c r="R653" s="69">
        <v>67000</v>
      </c>
      <c r="S653" s="62" t="s">
        <v>76</v>
      </c>
      <c r="T653" s="8">
        <f t="shared" si="36"/>
        <v>58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1</v>
      </c>
      <c r="AC653" s="8">
        <v>0</v>
      </c>
      <c r="AD653" s="8">
        <v>1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62" t="s">
        <v>49</v>
      </c>
      <c r="AL653" s="62" t="s">
        <v>50</v>
      </c>
      <c r="AM653" s="62" t="s">
        <v>51</v>
      </c>
      <c r="AN653" s="5"/>
      <c r="AO653" s="7"/>
    </row>
    <row r="654" spans="1:41" ht="15.75" customHeight="1" x14ac:dyDescent="0.25">
      <c r="A654" s="4">
        <v>653</v>
      </c>
      <c r="B654" s="5" t="s">
        <v>837</v>
      </c>
      <c r="C654" s="58">
        <v>3</v>
      </c>
      <c r="D654" s="61" t="s">
        <v>838</v>
      </c>
      <c r="E654" s="72" t="s">
        <v>839</v>
      </c>
      <c r="F654" s="62" t="s">
        <v>840</v>
      </c>
      <c r="G654" s="8" t="s">
        <v>56</v>
      </c>
      <c r="H654" s="8">
        <v>1981</v>
      </c>
      <c r="I654" s="62" t="s">
        <v>89</v>
      </c>
      <c r="J654" s="62" t="s">
        <v>213</v>
      </c>
      <c r="K654" s="62" t="s">
        <v>111</v>
      </c>
      <c r="L654" s="62" t="s">
        <v>128</v>
      </c>
      <c r="M654" s="62" t="s">
        <v>841</v>
      </c>
      <c r="N654" s="5">
        <v>0</v>
      </c>
      <c r="O654" s="8">
        <v>0</v>
      </c>
      <c r="P654" s="69">
        <v>54000</v>
      </c>
      <c r="Q654" s="69">
        <v>71000</v>
      </c>
      <c r="R654" s="69">
        <v>62500</v>
      </c>
      <c r="S654" s="62" t="s">
        <v>197</v>
      </c>
      <c r="T654" s="8">
        <f t="shared" si="36"/>
        <v>42</v>
      </c>
      <c r="U654" s="8">
        <v>0</v>
      </c>
      <c r="V654" s="8">
        <v>0</v>
      </c>
      <c r="W654" s="8">
        <v>0</v>
      </c>
      <c r="X654" s="8">
        <v>1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62" t="s">
        <v>1291</v>
      </c>
      <c r="AL654" s="62" t="s">
        <v>50</v>
      </c>
      <c r="AM654" s="62" t="s">
        <v>77</v>
      </c>
      <c r="AN654" s="5"/>
      <c r="AO654" s="7"/>
    </row>
    <row r="655" spans="1:41" ht="15.75" customHeight="1" x14ac:dyDescent="0.25">
      <c r="A655" s="4">
        <v>654</v>
      </c>
      <c r="B655" s="5" t="s">
        <v>1207</v>
      </c>
      <c r="C655" s="58">
        <v>3.9</v>
      </c>
      <c r="D655" s="61" t="s">
        <v>860</v>
      </c>
      <c r="E655" s="72" t="s">
        <v>1073</v>
      </c>
      <c r="F655" s="62" t="s">
        <v>861</v>
      </c>
      <c r="G655" s="8" t="s">
        <v>56</v>
      </c>
      <c r="H655" s="8">
        <v>1913</v>
      </c>
      <c r="I655" s="62" t="s">
        <v>89</v>
      </c>
      <c r="J655" s="62" t="s">
        <v>136</v>
      </c>
      <c r="K655" s="62" t="s">
        <v>136</v>
      </c>
      <c r="L655" s="62" t="s">
        <v>128</v>
      </c>
      <c r="M655" s="62" t="s">
        <v>862</v>
      </c>
      <c r="N655" s="5">
        <v>0</v>
      </c>
      <c r="O655" s="8">
        <v>0</v>
      </c>
      <c r="P655" s="69">
        <v>61000</v>
      </c>
      <c r="Q655" s="69">
        <v>123000</v>
      </c>
      <c r="R655" s="69">
        <v>92000</v>
      </c>
      <c r="S655" s="62" t="s">
        <v>61</v>
      </c>
      <c r="T655" s="8">
        <f t="shared" si="36"/>
        <v>110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62" t="s">
        <v>107</v>
      </c>
      <c r="AL655" s="62" t="s">
        <v>50</v>
      </c>
      <c r="AM655" s="62" t="s">
        <v>77</v>
      </c>
      <c r="AN655" s="5"/>
      <c r="AO655" s="7"/>
    </row>
    <row r="656" spans="1:41" ht="15.75" customHeight="1" x14ac:dyDescent="0.25">
      <c r="A656" s="4">
        <v>655</v>
      </c>
      <c r="B656" s="5" t="s">
        <v>130</v>
      </c>
      <c r="C656" s="58">
        <v>3.6</v>
      </c>
      <c r="D656" s="61" t="s">
        <v>1065</v>
      </c>
      <c r="E656" s="72" t="s">
        <v>79</v>
      </c>
      <c r="F656" s="62" t="s">
        <v>80</v>
      </c>
      <c r="G656" s="8">
        <v>500</v>
      </c>
      <c r="H656" s="8">
        <v>1980</v>
      </c>
      <c r="I656" s="62" t="s">
        <v>44</v>
      </c>
      <c r="J656" s="62" t="s">
        <v>58</v>
      </c>
      <c r="K656" s="62" t="s">
        <v>59</v>
      </c>
      <c r="L656" s="62" t="s">
        <v>180</v>
      </c>
      <c r="M656" s="62" t="s">
        <v>1066</v>
      </c>
      <c r="N656" s="5">
        <v>0</v>
      </c>
      <c r="O656" s="8">
        <v>0</v>
      </c>
      <c r="P656" s="69">
        <v>47000</v>
      </c>
      <c r="Q656" s="69">
        <v>85000</v>
      </c>
      <c r="R656" s="69">
        <v>66000</v>
      </c>
      <c r="S656" s="62" t="s">
        <v>85</v>
      </c>
      <c r="T656" s="8">
        <f t="shared" si="36"/>
        <v>43</v>
      </c>
      <c r="U656" s="8">
        <v>0</v>
      </c>
      <c r="V656" s="8">
        <v>0</v>
      </c>
      <c r="W656" s="8">
        <v>0</v>
      </c>
      <c r="X656" s="8">
        <v>1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62" t="s">
        <v>132</v>
      </c>
      <c r="AL656" s="62" t="s">
        <v>50</v>
      </c>
      <c r="AM656" s="62" t="s">
        <v>77</v>
      </c>
      <c r="AN656" s="5"/>
      <c r="AO656" s="7"/>
    </row>
    <row r="657" spans="1:41" ht="15.75" customHeight="1" x14ac:dyDescent="0.25">
      <c r="A657" s="4">
        <v>656</v>
      </c>
      <c r="B657" s="5" t="s">
        <v>224</v>
      </c>
      <c r="C657" s="58">
        <v>3.5</v>
      </c>
      <c r="D657" s="61" t="s">
        <v>842</v>
      </c>
      <c r="E657" s="72" t="s">
        <v>843</v>
      </c>
      <c r="F657" s="62" t="s">
        <v>843</v>
      </c>
      <c r="G657" s="8" t="s">
        <v>43</v>
      </c>
      <c r="H657" s="8">
        <v>2013</v>
      </c>
      <c r="I657" s="62" t="s">
        <v>44</v>
      </c>
      <c r="J657" s="62" t="s">
        <v>58</v>
      </c>
      <c r="K657" s="62" t="s">
        <v>59</v>
      </c>
      <c r="L657" s="62" t="s">
        <v>83</v>
      </c>
      <c r="M657" s="62" t="s">
        <v>47</v>
      </c>
      <c r="N657" s="5">
        <v>0</v>
      </c>
      <c r="O657" s="8">
        <v>0</v>
      </c>
      <c r="P657" s="69">
        <v>65000</v>
      </c>
      <c r="Q657" s="69">
        <v>124000</v>
      </c>
      <c r="R657" s="69">
        <v>94500</v>
      </c>
      <c r="S657" s="62" t="s">
        <v>102</v>
      </c>
      <c r="T657" s="8">
        <f t="shared" si="36"/>
        <v>10</v>
      </c>
      <c r="U657" s="8">
        <v>1</v>
      </c>
      <c r="V657" s="8">
        <v>1</v>
      </c>
      <c r="W657" s="8">
        <v>1</v>
      </c>
      <c r="X657" s="8">
        <v>1</v>
      </c>
      <c r="Y657" s="8">
        <v>1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1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62" t="s">
        <v>146</v>
      </c>
      <c r="AL657" s="62" t="s">
        <v>50</v>
      </c>
      <c r="AM657" s="62" t="s">
        <v>51</v>
      </c>
      <c r="AN657" s="5"/>
      <c r="AO657" s="7"/>
    </row>
    <row r="658" spans="1:41" ht="15.75" customHeight="1" x14ac:dyDescent="0.25">
      <c r="A658" s="4">
        <v>657</v>
      </c>
      <c r="B658" s="5" t="s">
        <v>39</v>
      </c>
      <c r="C658" s="58">
        <v>3.6</v>
      </c>
      <c r="D658" s="61" t="s">
        <v>989</v>
      </c>
      <c r="E658" s="72" t="s">
        <v>990</v>
      </c>
      <c r="F658" s="62" t="s">
        <v>991</v>
      </c>
      <c r="G658" s="8" t="s">
        <v>70</v>
      </c>
      <c r="H658" s="8">
        <v>1989</v>
      </c>
      <c r="I658" s="62" t="s">
        <v>44</v>
      </c>
      <c r="J658" s="62" t="s">
        <v>82</v>
      </c>
      <c r="K658" s="62" t="s">
        <v>65</v>
      </c>
      <c r="L658" s="62" t="s">
        <v>83</v>
      </c>
      <c r="M658" s="62" t="s">
        <v>47</v>
      </c>
      <c r="N658" s="5">
        <v>0</v>
      </c>
      <c r="O658" s="8">
        <v>0</v>
      </c>
      <c r="P658" s="69">
        <v>87000</v>
      </c>
      <c r="Q658" s="69">
        <v>141000</v>
      </c>
      <c r="R658" s="69">
        <v>114000</v>
      </c>
      <c r="S658" s="62" t="s">
        <v>145</v>
      </c>
      <c r="T658" s="8">
        <f t="shared" si="36"/>
        <v>34</v>
      </c>
      <c r="U658" s="8">
        <v>1</v>
      </c>
      <c r="V658" s="8">
        <v>0</v>
      </c>
      <c r="W658" s="8">
        <v>1</v>
      </c>
      <c r="X658" s="8">
        <v>1</v>
      </c>
      <c r="Y658" s="8">
        <v>1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1</v>
      </c>
      <c r="AF658" s="8">
        <v>1</v>
      </c>
      <c r="AG658" s="8">
        <v>1</v>
      </c>
      <c r="AH658" s="8">
        <v>0</v>
      </c>
      <c r="AI658" s="8">
        <v>0</v>
      </c>
      <c r="AJ658" s="8">
        <v>0</v>
      </c>
      <c r="AK658" s="62" t="s">
        <v>49</v>
      </c>
      <c r="AL658" s="62" t="s">
        <v>50</v>
      </c>
      <c r="AM658" s="62" t="s">
        <v>77</v>
      </c>
      <c r="AN658" s="5"/>
      <c r="AO658" s="7"/>
    </row>
    <row r="659" spans="1:41" ht="15.75" customHeight="1" x14ac:dyDescent="0.25">
      <c r="A659" s="4">
        <v>658</v>
      </c>
      <c r="B659" s="5" t="s">
        <v>39</v>
      </c>
      <c r="C659" s="58">
        <v>4.2</v>
      </c>
      <c r="D659" s="61" t="s">
        <v>1067</v>
      </c>
      <c r="E659" s="72" t="s">
        <v>79</v>
      </c>
      <c r="F659" s="62" t="s">
        <v>80</v>
      </c>
      <c r="G659" s="8" t="s">
        <v>81</v>
      </c>
      <c r="H659" s="8">
        <v>2012</v>
      </c>
      <c r="I659" s="62" t="s">
        <v>44</v>
      </c>
      <c r="J659" s="62" t="s">
        <v>414</v>
      </c>
      <c r="K659" s="62" t="s">
        <v>415</v>
      </c>
      <c r="L659" s="62" t="s">
        <v>83</v>
      </c>
      <c r="M659" s="62" t="s">
        <v>1068</v>
      </c>
      <c r="N659" s="5">
        <v>0</v>
      </c>
      <c r="O659" s="8">
        <v>0</v>
      </c>
      <c r="P659" s="69">
        <v>56000</v>
      </c>
      <c r="Q659" s="69">
        <v>95000</v>
      </c>
      <c r="R659" s="69">
        <v>75500</v>
      </c>
      <c r="S659" s="62" t="s">
        <v>85</v>
      </c>
      <c r="T659" s="8">
        <f t="shared" si="36"/>
        <v>11</v>
      </c>
      <c r="U659" s="8">
        <v>1</v>
      </c>
      <c r="V659" s="8">
        <v>0</v>
      </c>
      <c r="W659" s="8">
        <v>1</v>
      </c>
      <c r="X659" s="8">
        <v>0</v>
      </c>
      <c r="Y659" s="8">
        <v>1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1</v>
      </c>
      <c r="AF659" s="8">
        <v>1</v>
      </c>
      <c r="AG659" s="8">
        <v>0</v>
      </c>
      <c r="AH659" s="8">
        <v>0</v>
      </c>
      <c r="AI659" s="8">
        <v>0</v>
      </c>
      <c r="AJ659" s="8">
        <v>0</v>
      </c>
      <c r="AK659" s="62" t="s">
        <v>49</v>
      </c>
      <c r="AL659" s="62" t="s">
        <v>50</v>
      </c>
      <c r="AM659" s="62" t="s">
        <v>77</v>
      </c>
      <c r="AN659" s="5"/>
      <c r="AO659" s="7"/>
    </row>
    <row r="660" spans="1:41" ht="15.75" customHeight="1" x14ac:dyDescent="0.25">
      <c r="A660" s="4">
        <v>659</v>
      </c>
      <c r="B660" s="5" t="s">
        <v>39</v>
      </c>
      <c r="C660" s="58">
        <v>3.5</v>
      </c>
      <c r="D660" s="61" t="s">
        <v>1208</v>
      </c>
      <c r="E660" s="72" t="s">
        <v>334</v>
      </c>
      <c r="F660" s="62" t="s">
        <v>1209</v>
      </c>
      <c r="G660" s="8">
        <v>500</v>
      </c>
      <c r="H660" s="8" t="s">
        <v>47</v>
      </c>
      <c r="I660" s="62" t="s">
        <v>1064</v>
      </c>
      <c r="J660" s="62" t="s">
        <v>779</v>
      </c>
      <c r="K660" s="62" t="s">
        <v>415</v>
      </c>
      <c r="L660" s="62" t="s">
        <v>318</v>
      </c>
      <c r="M660" s="62" t="s">
        <v>47</v>
      </c>
      <c r="N660" s="5">
        <v>0</v>
      </c>
      <c r="O660" s="8">
        <v>0</v>
      </c>
      <c r="P660" s="69">
        <v>71000</v>
      </c>
      <c r="Q660" s="69">
        <v>121000</v>
      </c>
      <c r="R660" s="69">
        <v>96000</v>
      </c>
      <c r="S660" s="62" t="s">
        <v>288</v>
      </c>
      <c r="T660" s="8" t="s">
        <v>47</v>
      </c>
      <c r="U660" s="8">
        <v>0</v>
      </c>
      <c r="V660" s="8">
        <v>0</v>
      </c>
      <c r="W660" s="8">
        <v>0</v>
      </c>
      <c r="X660" s="8">
        <v>1</v>
      </c>
      <c r="Y660" s="8">
        <v>1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1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62" t="s">
        <v>49</v>
      </c>
      <c r="AL660" s="62" t="s">
        <v>50</v>
      </c>
      <c r="AM660" s="62" t="s">
        <v>108</v>
      </c>
      <c r="AN660" s="5"/>
      <c r="AO660" s="7"/>
    </row>
    <row r="661" spans="1:41" ht="15.75" customHeight="1" x14ac:dyDescent="0.25">
      <c r="A661" s="4">
        <v>660</v>
      </c>
      <c r="B661" s="5" t="s">
        <v>505</v>
      </c>
      <c r="C661" s="58">
        <v>4</v>
      </c>
      <c r="D661" s="61" t="s">
        <v>1069</v>
      </c>
      <c r="E661" s="72" t="s">
        <v>399</v>
      </c>
      <c r="F661" s="62" t="s">
        <v>1070</v>
      </c>
      <c r="G661" s="8" t="s">
        <v>43</v>
      </c>
      <c r="H661" s="8">
        <v>1954</v>
      </c>
      <c r="I661" s="62" t="s">
        <v>89</v>
      </c>
      <c r="J661" s="62" t="s">
        <v>45</v>
      </c>
      <c r="K661" s="62" t="s">
        <v>45</v>
      </c>
      <c r="L661" s="62" t="s">
        <v>66</v>
      </c>
      <c r="M661" s="62" t="s">
        <v>1071</v>
      </c>
      <c r="N661" s="5">
        <v>0</v>
      </c>
      <c r="O661" s="8">
        <v>0</v>
      </c>
      <c r="P661" s="69">
        <v>62000</v>
      </c>
      <c r="Q661" s="69">
        <v>112000</v>
      </c>
      <c r="R661" s="69">
        <v>87000</v>
      </c>
      <c r="S661" s="62" t="s">
        <v>122</v>
      </c>
      <c r="T661" s="8">
        <f t="shared" ref="T661:T669" si="37">2023-H661</f>
        <v>69</v>
      </c>
      <c r="U661" s="8">
        <v>1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62" t="s">
        <v>508</v>
      </c>
      <c r="AL661" s="62" t="s">
        <v>50</v>
      </c>
      <c r="AM661" s="62" t="s">
        <v>77</v>
      </c>
      <c r="AN661" s="5"/>
      <c r="AO661" s="7"/>
    </row>
    <row r="662" spans="1:41" ht="15.75" customHeight="1" x14ac:dyDescent="0.25">
      <c r="A662" s="4">
        <v>661</v>
      </c>
      <c r="B662" s="5" t="s">
        <v>39</v>
      </c>
      <c r="C662" s="58">
        <v>3.7</v>
      </c>
      <c r="D662" s="61" t="s">
        <v>1074</v>
      </c>
      <c r="E662" s="72" t="s">
        <v>405</v>
      </c>
      <c r="F662" s="62" t="s">
        <v>339</v>
      </c>
      <c r="G662" s="8" t="s">
        <v>88</v>
      </c>
      <c r="H662" s="8">
        <v>2006</v>
      </c>
      <c r="I662" s="62" t="s">
        <v>44</v>
      </c>
      <c r="J662" s="62" t="s">
        <v>213</v>
      </c>
      <c r="K662" s="62" t="s">
        <v>111</v>
      </c>
      <c r="L662" s="62" t="s">
        <v>101</v>
      </c>
      <c r="M662" s="62" t="s">
        <v>47</v>
      </c>
      <c r="N662" s="5">
        <v>0</v>
      </c>
      <c r="O662" s="8">
        <v>0</v>
      </c>
      <c r="P662" s="69">
        <v>64000</v>
      </c>
      <c r="Q662" s="69">
        <v>108000</v>
      </c>
      <c r="R662" s="69">
        <v>86000</v>
      </c>
      <c r="S662" s="62" t="s">
        <v>61</v>
      </c>
      <c r="T662" s="8">
        <f t="shared" si="37"/>
        <v>17</v>
      </c>
      <c r="U662" s="8">
        <v>1</v>
      </c>
      <c r="V662" s="8">
        <v>0</v>
      </c>
      <c r="W662" s="8">
        <v>0</v>
      </c>
      <c r="X662" s="8">
        <v>1</v>
      </c>
      <c r="Y662" s="8">
        <v>0</v>
      </c>
      <c r="Z662" s="8">
        <v>1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62" t="s">
        <v>49</v>
      </c>
      <c r="AL662" s="62" t="s">
        <v>50</v>
      </c>
      <c r="AM662" s="62" t="s">
        <v>51</v>
      </c>
      <c r="AN662" s="5"/>
      <c r="AO662" s="7"/>
    </row>
    <row r="663" spans="1:41" ht="15.75" customHeight="1" x14ac:dyDescent="0.25">
      <c r="A663" s="4">
        <v>662</v>
      </c>
      <c r="B663" s="5" t="s">
        <v>220</v>
      </c>
      <c r="C663" s="58">
        <v>4.4000000000000004</v>
      </c>
      <c r="D663" s="61" t="s">
        <v>1075</v>
      </c>
      <c r="E663" s="72" t="s">
        <v>296</v>
      </c>
      <c r="F663" s="62" t="s">
        <v>297</v>
      </c>
      <c r="G663" s="8">
        <v>500</v>
      </c>
      <c r="H663" s="8">
        <v>2012</v>
      </c>
      <c r="I663" s="62" t="s">
        <v>44</v>
      </c>
      <c r="J663" s="62" t="s">
        <v>110</v>
      </c>
      <c r="K663" s="62" t="s">
        <v>111</v>
      </c>
      <c r="L663" s="62" t="s">
        <v>83</v>
      </c>
      <c r="M663" s="62" t="s">
        <v>47</v>
      </c>
      <c r="N663" s="5">
        <v>0</v>
      </c>
      <c r="O663" s="8">
        <v>0</v>
      </c>
      <c r="P663" s="69">
        <v>89000</v>
      </c>
      <c r="Q663" s="69">
        <v>144000</v>
      </c>
      <c r="R663" s="69">
        <v>116500</v>
      </c>
      <c r="S663" s="62" t="s">
        <v>102</v>
      </c>
      <c r="T663" s="8">
        <f t="shared" si="37"/>
        <v>11</v>
      </c>
      <c r="U663" s="8">
        <v>1</v>
      </c>
      <c r="V663" s="8">
        <v>0</v>
      </c>
      <c r="W663" s="8">
        <v>0</v>
      </c>
      <c r="X663" s="8">
        <v>0</v>
      </c>
      <c r="Y663" s="8">
        <v>1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62" t="s">
        <v>49</v>
      </c>
      <c r="AL663" s="62" t="s">
        <v>169</v>
      </c>
      <c r="AM663" s="62" t="s">
        <v>51</v>
      </c>
      <c r="AN663" s="5"/>
      <c r="AO663" s="7"/>
    </row>
    <row r="664" spans="1:41" ht="15.75" customHeight="1" x14ac:dyDescent="0.25">
      <c r="A664" s="4">
        <v>663</v>
      </c>
      <c r="B664" s="5" t="s">
        <v>844</v>
      </c>
      <c r="C664" s="58">
        <v>3.5</v>
      </c>
      <c r="D664" s="61" t="s">
        <v>566</v>
      </c>
      <c r="E664" s="72" t="s">
        <v>231</v>
      </c>
      <c r="F664" s="62" t="s">
        <v>231</v>
      </c>
      <c r="G664" s="8" t="s">
        <v>70</v>
      </c>
      <c r="H664" s="8">
        <v>2010</v>
      </c>
      <c r="I664" s="62" t="s">
        <v>44</v>
      </c>
      <c r="J664" s="62" t="s">
        <v>136</v>
      </c>
      <c r="K664" s="62" t="s">
        <v>136</v>
      </c>
      <c r="L664" s="62" t="s">
        <v>91</v>
      </c>
      <c r="M664" s="62" t="s">
        <v>567</v>
      </c>
      <c r="N664" s="5">
        <v>0</v>
      </c>
      <c r="O664" s="8">
        <v>0</v>
      </c>
      <c r="P664" s="69">
        <v>109000</v>
      </c>
      <c r="Q664" s="69">
        <v>200000</v>
      </c>
      <c r="R664" s="69">
        <v>154500</v>
      </c>
      <c r="S664" s="62" t="s">
        <v>138</v>
      </c>
      <c r="T664" s="8">
        <f t="shared" si="37"/>
        <v>13</v>
      </c>
      <c r="U664" s="8">
        <v>1</v>
      </c>
      <c r="V664" s="8">
        <v>0</v>
      </c>
      <c r="W664" s="8">
        <v>0</v>
      </c>
      <c r="X664" s="8">
        <v>1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62" t="s">
        <v>107</v>
      </c>
      <c r="AL664" s="62" t="s">
        <v>169</v>
      </c>
      <c r="AM664" s="62" t="s">
        <v>108</v>
      </c>
      <c r="AN664" s="5"/>
      <c r="AO664" s="7"/>
    </row>
    <row r="665" spans="1:41" ht="15.75" customHeight="1" x14ac:dyDescent="0.25">
      <c r="A665" s="4">
        <v>664</v>
      </c>
      <c r="B665" s="5" t="s">
        <v>644</v>
      </c>
      <c r="C665" s="58">
        <v>3.6</v>
      </c>
      <c r="D665" s="61" t="s">
        <v>645</v>
      </c>
      <c r="E665" s="72" t="s">
        <v>646</v>
      </c>
      <c r="F665" s="62" t="s">
        <v>646</v>
      </c>
      <c r="G665" s="8" t="s">
        <v>70</v>
      </c>
      <c r="H665" s="8">
        <v>1986</v>
      </c>
      <c r="I665" s="62" t="s">
        <v>44</v>
      </c>
      <c r="J665" s="62" t="s">
        <v>647</v>
      </c>
      <c r="K665" s="62" t="s">
        <v>648</v>
      </c>
      <c r="L665" s="62" t="s">
        <v>66</v>
      </c>
      <c r="M665" s="62" t="s">
        <v>47</v>
      </c>
      <c r="N665" s="5">
        <v>0</v>
      </c>
      <c r="O665" s="8">
        <v>0</v>
      </c>
      <c r="P665" s="69">
        <v>35000</v>
      </c>
      <c r="Q665" s="69">
        <v>62000</v>
      </c>
      <c r="R665" s="69">
        <v>48500</v>
      </c>
      <c r="S665" s="62" t="s">
        <v>102</v>
      </c>
      <c r="T665" s="8">
        <f t="shared" si="37"/>
        <v>37</v>
      </c>
      <c r="U665" s="8">
        <v>0</v>
      </c>
      <c r="V665" s="8">
        <v>0</v>
      </c>
      <c r="W665" s="8">
        <v>0</v>
      </c>
      <c r="X665" s="8">
        <v>1</v>
      </c>
      <c r="Y665" s="8">
        <v>1</v>
      </c>
      <c r="Z665" s="8">
        <v>1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1</v>
      </c>
      <c r="AG665" s="8">
        <v>0</v>
      </c>
      <c r="AH665" s="8">
        <v>0</v>
      </c>
      <c r="AI665" s="8">
        <v>0</v>
      </c>
      <c r="AJ665" s="8">
        <v>1</v>
      </c>
      <c r="AK665" s="62" t="s">
        <v>132</v>
      </c>
      <c r="AL665" s="62" t="s">
        <v>50</v>
      </c>
      <c r="AM665" s="62" t="s">
        <v>51</v>
      </c>
      <c r="AN665" s="5"/>
      <c r="AO665" s="7"/>
    </row>
    <row r="666" spans="1:41" ht="15.75" customHeight="1" x14ac:dyDescent="0.25">
      <c r="A666" s="4">
        <v>665</v>
      </c>
      <c r="B666" s="5" t="s">
        <v>845</v>
      </c>
      <c r="C666" s="58">
        <v>3.7</v>
      </c>
      <c r="D666" s="61" t="s">
        <v>846</v>
      </c>
      <c r="E666" s="72" t="s">
        <v>847</v>
      </c>
      <c r="F666" s="62" t="s">
        <v>172</v>
      </c>
      <c r="G666" s="8" t="s">
        <v>43</v>
      </c>
      <c r="H666" s="8">
        <v>1973</v>
      </c>
      <c r="I666" s="62" t="s">
        <v>89</v>
      </c>
      <c r="J666" s="62" t="s">
        <v>848</v>
      </c>
      <c r="K666" s="62" t="s">
        <v>96</v>
      </c>
      <c r="L666" s="62" t="s">
        <v>74</v>
      </c>
      <c r="M666" s="62" t="s">
        <v>47</v>
      </c>
      <c r="N666" s="5">
        <v>0</v>
      </c>
      <c r="O666" s="8">
        <v>0</v>
      </c>
      <c r="P666" s="69">
        <v>61000</v>
      </c>
      <c r="Q666" s="69">
        <v>113000</v>
      </c>
      <c r="R666" s="69">
        <v>87000</v>
      </c>
      <c r="S666" s="62" t="s">
        <v>849</v>
      </c>
      <c r="T666" s="8">
        <f t="shared" si="37"/>
        <v>50</v>
      </c>
      <c r="U666" s="8">
        <v>1</v>
      </c>
      <c r="V666" s="8">
        <v>0</v>
      </c>
      <c r="W666" s="8">
        <v>0</v>
      </c>
      <c r="X666" s="8">
        <v>1</v>
      </c>
      <c r="Y666" s="8">
        <v>1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1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62" t="s">
        <v>508</v>
      </c>
      <c r="AL666" s="62" t="s">
        <v>50</v>
      </c>
      <c r="AM666" s="62" t="s">
        <v>77</v>
      </c>
      <c r="AN666" s="5"/>
      <c r="AO666" s="7"/>
    </row>
    <row r="667" spans="1:41" ht="15.75" customHeight="1" x14ac:dyDescent="0.25">
      <c r="A667" s="4">
        <v>666</v>
      </c>
      <c r="B667" s="5" t="s">
        <v>224</v>
      </c>
      <c r="C667" s="58">
        <v>3.4</v>
      </c>
      <c r="D667" s="61" t="s">
        <v>1076</v>
      </c>
      <c r="E667" s="72" t="s">
        <v>413</v>
      </c>
      <c r="F667" s="62" t="s">
        <v>1077</v>
      </c>
      <c r="G667" s="8" t="s">
        <v>43</v>
      </c>
      <c r="H667" s="8">
        <v>2002</v>
      </c>
      <c r="I667" s="62" t="s">
        <v>44</v>
      </c>
      <c r="J667" s="62" t="s">
        <v>213</v>
      </c>
      <c r="K667" s="62" t="s">
        <v>111</v>
      </c>
      <c r="L667" s="62" t="s">
        <v>91</v>
      </c>
      <c r="M667" s="62" t="s">
        <v>1078</v>
      </c>
      <c r="N667" s="5">
        <v>0</v>
      </c>
      <c r="O667" s="8">
        <v>0</v>
      </c>
      <c r="P667" s="69">
        <v>55000</v>
      </c>
      <c r="Q667" s="69">
        <v>105000</v>
      </c>
      <c r="R667" s="69">
        <v>80000</v>
      </c>
      <c r="S667" s="62" t="s">
        <v>93</v>
      </c>
      <c r="T667" s="8">
        <f t="shared" si="37"/>
        <v>21</v>
      </c>
      <c r="U667" s="8">
        <v>1</v>
      </c>
      <c r="V667" s="8">
        <v>1</v>
      </c>
      <c r="W667" s="8">
        <v>0</v>
      </c>
      <c r="X667" s="8">
        <v>1</v>
      </c>
      <c r="Y667" s="8">
        <v>1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1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62" t="s">
        <v>146</v>
      </c>
      <c r="AL667" s="62" t="s">
        <v>50</v>
      </c>
      <c r="AM667" s="62" t="s">
        <v>77</v>
      </c>
      <c r="AN667" s="5"/>
      <c r="AO667" s="7"/>
    </row>
    <row r="668" spans="1:41" ht="15.75" customHeight="1" x14ac:dyDescent="0.25">
      <c r="A668" s="4">
        <v>667</v>
      </c>
      <c r="B668" s="5" t="s">
        <v>649</v>
      </c>
      <c r="C668" s="58">
        <v>4</v>
      </c>
      <c r="D668" s="61" t="s">
        <v>650</v>
      </c>
      <c r="E668" s="72" t="s">
        <v>651</v>
      </c>
      <c r="F668" s="62" t="s">
        <v>652</v>
      </c>
      <c r="G668" s="8" t="s">
        <v>70</v>
      </c>
      <c r="H668" s="8">
        <v>1977</v>
      </c>
      <c r="I668" s="62" t="s">
        <v>106</v>
      </c>
      <c r="J668" s="62" t="s">
        <v>58</v>
      </c>
      <c r="K668" s="62" t="s">
        <v>59</v>
      </c>
      <c r="L668" s="62" t="s">
        <v>46</v>
      </c>
      <c r="M668" s="62" t="s">
        <v>47</v>
      </c>
      <c r="N668" s="5">
        <v>1</v>
      </c>
      <c r="O668" s="8">
        <v>0</v>
      </c>
      <c r="P668" s="69">
        <v>37000</v>
      </c>
      <c r="Q668" s="69">
        <v>52000</v>
      </c>
      <c r="R668" s="69">
        <v>44500</v>
      </c>
      <c r="S668" s="62" t="s">
        <v>93</v>
      </c>
      <c r="T668" s="8">
        <f t="shared" si="37"/>
        <v>46</v>
      </c>
      <c r="U668" s="8">
        <v>0</v>
      </c>
      <c r="V668" s="8">
        <v>0</v>
      </c>
      <c r="W668" s="8">
        <v>1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62" t="s">
        <v>107</v>
      </c>
      <c r="AL668" s="62" t="s">
        <v>50</v>
      </c>
      <c r="AM668" s="62" t="s">
        <v>77</v>
      </c>
      <c r="AN668" s="5"/>
      <c r="AO668" s="7"/>
    </row>
    <row r="669" spans="1:41" ht="15.75" customHeight="1" x14ac:dyDescent="0.25">
      <c r="A669" s="4">
        <v>668</v>
      </c>
      <c r="B669" s="5" t="s">
        <v>1079</v>
      </c>
      <c r="C669" s="58">
        <v>3.7</v>
      </c>
      <c r="D669" s="61" t="s">
        <v>279</v>
      </c>
      <c r="E669" s="72" t="s">
        <v>98</v>
      </c>
      <c r="F669" s="62" t="s">
        <v>280</v>
      </c>
      <c r="G669" s="8" t="s">
        <v>56</v>
      </c>
      <c r="H669" s="8">
        <v>1939</v>
      </c>
      <c r="I669" s="62" t="s">
        <v>89</v>
      </c>
      <c r="J669" s="62" t="s">
        <v>45</v>
      </c>
      <c r="K669" s="62" t="s">
        <v>45</v>
      </c>
      <c r="L669" s="62" t="s">
        <v>128</v>
      </c>
      <c r="M669" s="62" t="s">
        <v>47</v>
      </c>
      <c r="N669" s="5">
        <v>0</v>
      </c>
      <c r="O669" s="8">
        <v>0</v>
      </c>
      <c r="P669" s="69">
        <v>135000</v>
      </c>
      <c r="Q669" s="69">
        <v>211000</v>
      </c>
      <c r="R669" s="69">
        <v>173000</v>
      </c>
      <c r="S669" s="62" t="s">
        <v>102</v>
      </c>
      <c r="T669" s="8">
        <f t="shared" si="37"/>
        <v>84</v>
      </c>
      <c r="U669" s="8">
        <v>1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62" t="s">
        <v>49</v>
      </c>
      <c r="AL669" s="62" t="s">
        <v>169</v>
      </c>
      <c r="AM669" s="62" t="s">
        <v>51</v>
      </c>
      <c r="AN669" s="5"/>
      <c r="AO669" s="7"/>
    </row>
    <row r="670" spans="1:41" ht="15.75" customHeight="1" x14ac:dyDescent="0.25">
      <c r="A670" s="4">
        <v>669</v>
      </c>
      <c r="B670" s="5" t="s">
        <v>653</v>
      </c>
      <c r="C670" s="58">
        <v>2.4</v>
      </c>
      <c r="D670" s="61" t="s">
        <v>654</v>
      </c>
      <c r="E670" s="72" t="s">
        <v>655</v>
      </c>
      <c r="F670" s="62" t="s">
        <v>656</v>
      </c>
      <c r="G670" s="8" t="s">
        <v>43</v>
      </c>
      <c r="H670" s="8" t="s">
        <v>47</v>
      </c>
      <c r="I670" s="62" t="s">
        <v>44</v>
      </c>
      <c r="J670" s="62" t="s">
        <v>657</v>
      </c>
      <c r="K670" s="62" t="s">
        <v>427</v>
      </c>
      <c r="L670" s="62" t="s">
        <v>66</v>
      </c>
      <c r="M670" s="62" t="s">
        <v>47</v>
      </c>
      <c r="N670" s="5">
        <v>0</v>
      </c>
      <c r="O670" s="8">
        <v>0</v>
      </c>
      <c r="P670" s="69">
        <v>39000</v>
      </c>
      <c r="Q670" s="69">
        <v>66000</v>
      </c>
      <c r="R670" s="69">
        <v>52500</v>
      </c>
      <c r="S670" s="62" t="s">
        <v>176</v>
      </c>
      <c r="T670" s="8" t="s">
        <v>47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62" t="s">
        <v>107</v>
      </c>
      <c r="AL670" s="62" t="s">
        <v>50</v>
      </c>
      <c r="AM670" s="62" t="s">
        <v>77</v>
      </c>
      <c r="AN670" s="5"/>
      <c r="AO670" s="7"/>
    </row>
    <row r="671" spans="1:41" ht="15.75" customHeight="1" x14ac:dyDescent="0.25">
      <c r="A671" s="4">
        <v>670</v>
      </c>
      <c r="B671" s="5" t="s">
        <v>224</v>
      </c>
      <c r="C671" s="58">
        <v>3.5</v>
      </c>
      <c r="D671" s="61" t="s">
        <v>1080</v>
      </c>
      <c r="E671" s="72" t="s">
        <v>435</v>
      </c>
      <c r="F671" s="62" t="s">
        <v>1081</v>
      </c>
      <c r="G671" s="8" t="s">
        <v>43</v>
      </c>
      <c r="H671" s="8">
        <v>1997</v>
      </c>
      <c r="I671" s="62" t="s">
        <v>44</v>
      </c>
      <c r="J671" s="62" t="s">
        <v>136</v>
      </c>
      <c r="K671" s="62" t="s">
        <v>136</v>
      </c>
      <c r="L671" s="62" t="s">
        <v>83</v>
      </c>
      <c r="M671" s="62" t="s">
        <v>1082</v>
      </c>
      <c r="N671" s="5">
        <v>0</v>
      </c>
      <c r="O671" s="8">
        <v>0</v>
      </c>
      <c r="P671" s="69">
        <v>57000</v>
      </c>
      <c r="Q671" s="69">
        <v>80000</v>
      </c>
      <c r="R671" s="69">
        <v>68500</v>
      </c>
      <c r="S671" s="62" t="s">
        <v>436</v>
      </c>
      <c r="T671" s="8">
        <f t="shared" ref="T671:T676" si="38">2023-H671</f>
        <v>26</v>
      </c>
      <c r="U671" s="8">
        <v>1</v>
      </c>
      <c r="V671" s="8">
        <v>1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62" t="s">
        <v>146</v>
      </c>
      <c r="AL671" s="62" t="s">
        <v>50</v>
      </c>
      <c r="AM671" s="62" t="s">
        <v>77</v>
      </c>
      <c r="AN671" s="5"/>
      <c r="AO671" s="7"/>
    </row>
    <row r="672" spans="1:41" ht="15.75" customHeight="1" x14ac:dyDescent="0.25">
      <c r="A672" s="4">
        <v>671</v>
      </c>
      <c r="B672" s="5" t="s">
        <v>1085</v>
      </c>
      <c r="C672" s="58">
        <v>3.9</v>
      </c>
      <c r="D672" s="61" t="s">
        <v>860</v>
      </c>
      <c r="E672" s="72" t="s">
        <v>1073</v>
      </c>
      <c r="F672" s="62" t="s">
        <v>861</v>
      </c>
      <c r="G672" s="8" t="s">
        <v>56</v>
      </c>
      <c r="H672" s="8">
        <v>1913</v>
      </c>
      <c r="I672" s="62" t="s">
        <v>89</v>
      </c>
      <c r="J672" s="62" t="s">
        <v>136</v>
      </c>
      <c r="K672" s="62" t="s">
        <v>136</v>
      </c>
      <c r="L672" s="62" t="s">
        <v>128</v>
      </c>
      <c r="M672" s="62" t="s">
        <v>862</v>
      </c>
      <c r="N672" s="5">
        <v>0</v>
      </c>
      <c r="O672" s="8">
        <v>0</v>
      </c>
      <c r="P672" s="69">
        <v>63000</v>
      </c>
      <c r="Q672" s="69">
        <v>127000</v>
      </c>
      <c r="R672" s="69">
        <v>95000</v>
      </c>
      <c r="S672" s="62" t="s">
        <v>61</v>
      </c>
      <c r="T672" s="8">
        <f t="shared" si="38"/>
        <v>110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62" t="s">
        <v>107</v>
      </c>
      <c r="AL672" s="62" t="s">
        <v>169</v>
      </c>
      <c r="AM672" s="62" t="s">
        <v>108</v>
      </c>
      <c r="AN672" s="5"/>
      <c r="AO672" s="7"/>
    </row>
    <row r="673" spans="1:41" ht="15.75" customHeight="1" x14ac:dyDescent="0.25">
      <c r="A673" s="4">
        <v>672</v>
      </c>
      <c r="B673" s="5" t="s">
        <v>1086</v>
      </c>
      <c r="C673" s="58">
        <v>3.2</v>
      </c>
      <c r="D673" s="61" t="s">
        <v>394</v>
      </c>
      <c r="E673" s="72" t="s">
        <v>396</v>
      </c>
      <c r="F673" s="62" t="s">
        <v>396</v>
      </c>
      <c r="G673" s="8" t="s">
        <v>120</v>
      </c>
      <c r="H673" s="8">
        <v>1958</v>
      </c>
      <c r="I673" s="62" t="s">
        <v>160</v>
      </c>
      <c r="J673" s="62" t="s">
        <v>397</v>
      </c>
      <c r="K673" s="62" t="s">
        <v>71</v>
      </c>
      <c r="L673" s="62" t="s">
        <v>91</v>
      </c>
      <c r="M673" s="62" t="s">
        <v>398</v>
      </c>
      <c r="N673" s="5">
        <v>0</v>
      </c>
      <c r="O673" s="8">
        <v>0</v>
      </c>
      <c r="P673" s="69">
        <v>50000</v>
      </c>
      <c r="Q673" s="69">
        <v>89000</v>
      </c>
      <c r="R673" s="69">
        <v>69500</v>
      </c>
      <c r="S673" s="62" t="s">
        <v>138</v>
      </c>
      <c r="T673" s="8">
        <f t="shared" si="38"/>
        <v>65</v>
      </c>
      <c r="U673" s="8">
        <v>1</v>
      </c>
      <c r="V673" s="8">
        <v>0</v>
      </c>
      <c r="W673" s="8">
        <v>0</v>
      </c>
      <c r="X673" s="8">
        <v>1</v>
      </c>
      <c r="Y673" s="8">
        <v>1</v>
      </c>
      <c r="Z673" s="8">
        <v>1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1</v>
      </c>
      <c r="AG673" s="8">
        <v>0</v>
      </c>
      <c r="AH673" s="8">
        <v>0</v>
      </c>
      <c r="AI673" s="8">
        <v>1</v>
      </c>
      <c r="AJ673" s="8">
        <v>0</v>
      </c>
      <c r="AK673" s="62" t="s">
        <v>49</v>
      </c>
      <c r="AL673" s="62" t="s">
        <v>50</v>
      </c>
      <c r="AM673" s="62" t="s">
        <v>77</v>
      </c>
      <c r="AN673" s="5"/>
      <c r="AO673" s="7"/>
    </row>
    <row r="674" spans="1:41" ht="15.75" customHeight="1" x14ac:dyDescent="0.25">
      <c r="A674" s="4">
        <v>673</v>
      </c>
      <c r="B674" s="5" t="s">
        <v>220</v>
      </c>
      <c r="C674" s="58">
        <v>4.4000000000000004</v>
      </c>
      <c r="D674" s="61" t="s">
        <v>289</v>
      </c>
      <c r="E674" s="72" t="s">
        <v>290</v>
      </c>
      <c r="F674" s="62" t="s">
        <v>290</v>
      </c>
      <c r="G674" s="8" t="s">
        <v>88</v>
      </c>
      <c r="H674" s="8">
        <v>1885</v>
      </c>
      <c r="I674" s="62" t="s">
        <v>142</v>
      </c>
      <c r="J674" s="62" t="s">
        <v>291</v>
      </c>
      <c r="K674" s="62" t="s">
        <v>292</v>
      </c>
      <c r="L674" s="62" t="s">
        <v>83</v>
      </c>
      <c r="M674" s="62" t="s">
        <v>47</v>
      </c>
      <c r="N674" s="5">
        <v>0</v>
      </c>
      <c r="O674" s="8">
        <v>0</v>
      </c>
      <c r="P674" s="69">
        <v>82000</v>
      </c>
      <c r="Q674" s="69">
        <v>132000</v>
      </c>
      <c r="R674" s="69">
        <v>107000</v>
      </c>
      <c r="S674" s="62" t="s">
        <v>258</v>
      </c>
      <c r="T674" s="8">
        <f t="shared" si="38"/>
        <v>138</v>
      </c>
      <c r="U674" s="8">
        <v>1</v>
      </c>
      <c r="V674" s="8">
        <v>0</v>
      </c>
      <c r="W674" s="8">
        <v>1</v>
      </c>
      <c r="X674" s="8">
        <v>0</v>
      </c>
      <c r="Y674" s="8">
        <v>1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1</v>
      </c>
      <c r="AG674" s="8">
        <v>1</v>
      </c>
      <c r="AH674" s="8">
        <v>0</v>
      </c>
      <c r="AI674" s="8">
        <v>0</v>
      </c>
      <c r="AJ674" s="8">
        <v>0</v>
      </c>
      <c r="AK674" s="62" t="s">
        <v>49</v>
      </c>
      <c r="AL674" s="62" t="s">
        <v>169</v>
      </c>
      <c r="AM674" s="62" t="s">
        <v>51</v>
      </c>
      <c r="AN674" s="5"/>
      <c r="AO674" s="7"/>
    </row>
    <row r="675" spans="1:41" ht="15.75" customHeight="1" x14ac:dyDescent="0.25">
      <c r="A675" s="4">
        <v>674</v>
      </c>
      <c r="B675" s="5" t="s">
        <v>336</v>
      </c>
      <c r="C675" s="58">
        <v>3.9</v>
      </c>
      <c r="D675" s="61" t="s">
        <v>337</v>
      </c>
      <c r="E675" s="72" t="s">
        <v>338</v>
      </c>
      <c r="F675" s="62" t="s">
        <v>339</v>
      </c>
      <c r="G675" s="8" t="s">
        <v>43</v>
      </c>
      <c r="H675" s="8">
        <v>2010</v>
      </c>
      <c r="I675" s="62" t="s">
        <v>44</v>
      </c>
      <c r="J675" s="62" t="s">
        <v>213</v>
      </c>
      <c r="K675" s="62" t="s">
        <v>111</v>
      </c>
      <c r="L675" s="62" t="s">
        <v>66</v>
      </c>
      <c r="M675" s="62" t="s">
        <v>340</v>
      </c>
      <c r="N675" s="5">
        <v>0</v>
      </c>
      <c r="O675" s="8">
        <v>0</v>
      </c>
      <c r="P675" s="69">
        <v>85000</v>
      </c>
      <c r="Q675" s="69">
        <v>139000</v>
      </c>
      <c r="R675" s="69">
        <v>112000</v>
      </c>
      <c r="S675" s="62" t="s">
        <v>122</v>
      </c>
      <c r="T675" s="8">
        <f t="shared" si="38"/>
        <v>13</v>
      </c>
      <c r="U675" s="8">
        <v>1</v>
      </c>
      <c r="V675" s="8">
        <v>1</v>
      </c>
      <c r="W675" s="8">
        <v>0</v>
      </c>
      <c r="X675" s="8">
        <v>0</v>
      </c>
      <c r="Y675" s="8">
        <v>1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1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  <c r="AK675" s="62" t="s">
        <v>49</v>
      </c>
      <c r="AL675" s="62" t="s">
        <v>169</v>
      </c>
      <c r="AM675" s="62" t="s">
        <v>51</v>
      </c>
      <c r="AN675" s="5"/>
      <c r="AO675" s="7"/>
    </row>
    <row r="676" spans="1:41" ht="15.75" customHeight="1" x14ac:dyDescent="0.25">
      <c r="A676" s="4">
        <v>675</v>
      </c>
      <c r="B676" s="5" t="s">
        <v>39</v>
      </c>
      <c r="C676" s="58">
        <v>3.4</v>
      </c>
      <c r="D676" s="61" t="s">
        <v>1210</v>
      </c>
      <c r="E676" s="72" t="s">
        <v>243</v>
      </c>
      <c r="F676" s="62" t="s">
        <v>413</v>
      </c>
      <c r="G676" s="8" t="s">
        <v>81</v>
      </c>
      <c r="H676" s="8">
        <v>1997</v>
      </c>
      <c r="I676" s="62" t="s">
        <v>44</v>
      </c>
      <c r="J676" s="62" t="s">
        <v>100</v>
      </c>
      <c r="K676" s="62" t="s">
        <v>65</v>
      </c>
      <c r="L676" s="62" t="s">
        <v>180</v>
      </c>
      <c r="M676" s="62" t="s">
        <v>47</v>
      </c>
      <c r="N676" s="5">
        <v>0</v>
      </c>
      <c r="O676" s="8">
        <v>0</v>
      </c>
      <c r="P676" s="69">
        <v>72000</v>
      </c>
      <c r="Q676" s="69">
        <v>121000</v>
      </c>
      <c r="R676" s="69">
        <v>96500</v>
      </c>
      <c r="S676" s="62" t="s">
        <v>245</v>
      </c>
      <c r="T676" s="8">
        <f t="shared" si="38"/>
        <v>26</v>
      </c>
      <c r="U676" s="8">
        <v>1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1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62" t="s">
        <v>49</v>
      </c>
      <c r="AL676" s="62" t="s">
        <v>50</v>
      </c>
      <c r="AM676" s="62" t="s">
        <v>51</v>
      </c>
      <c r="AN676" s="5"/>
      <c r="AO676" s="7"/>
    </row>
    <row r="677" spans="1:41" ht="15.75" customHeight="1" x14ac:dyDescent="0.25">
      <c r="A677" s="4">
        <v>676</v>
      </c>
      <c r="B677" s="5" t="s">
        <v>852</v>
      </c>
      <c r="C677" s="58">
        <v>2.1</v>
      </c>
      <c r="D677" s="61" t="s">
        <v>853</v>
      </c>
      <c r="E677" s="72" t="s">
        <v>854</v>
      </c>
      <c r="F677" s="62" t="s">
        <v>854</v>
      </c>
      <c r="G677" s="8" t="s">
        <v>88</v>
      </c>
      <c r="H677" s="8" t="s">
        <v>47</v>
      </c>
      <c r="I677" s="62" t="s">
        <v>89</v>
      </c>
      <c r="J677" s="62" t="s">
        <v>136</v>
      </c>
      <c r="K677" s="62" t="s">
        <v>136</v>
      </c>
      <c r="L677" s="62" t="s">
        <v>101</v>
      </c>
      <c r="M677" s="62" t="s">
        <v>47</v>
      </c>
      <c r="N677" s="5">
        <v>0</v>
      </c>
      <c r="O677" s="8">
        <v>0</v>
      </c>
      <c r="P677" s="69">
        <v>74000</v>
      </c>
      <c r="Q677" s="69">
        <v>149000</v>
      </c>
      <c r="R677" s="69">
        <v>111500</v>
      </c>
      <c r="S677" s="62" t="s">
        <v>102</v>
      </c>
      <c r="T677" s="8" t="s">
        <v>47</v>
      </c>
      <c r="U677" s="8">
        <v>0</v>
      </c>
      <c r="V677" s="8">
        <v>0</v>
      </c>
      <c r="W677" s="8">
        <v>0</v>
      </c>
      <c r="X677" s="8">
        <v>1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62" t="s">
        <v>107</v>
      </c>
      <c r="AL677" s="62" t="s">
        <v>50</v>
      </c>
      <c r="AM677" s="62" t="s">
        <v>108</v>
      </c>
      <c r="AN677" s="5"/>
      <c r="AO677" s="7"/>
    </row>
    <row r="678" spans="1:41" ht="15.75" customHeight="1" x14ac:dyDescent="0.25">
      <c r="A678" s="4">
        <v>677</v>
      </c>
      <c r="B678" s="5" t="s">
        <v>855</v>
      </c>
      <c r="C678" s="58">
        <v>3.7</v>
      </c>
      <c r="D678" s="61" t="s">
        <v>133</v>
      </c>
      <c r="E678" s="72" t="s">
        <v>134</v>
      </c>
      <c r="F678" s="62" t="s">
        <v>135</v>
      </c>
      <c r="G678" s="8" t="s">
        <v>56</v>
      </c>
      <c r="H678" s="8">
        <v>1781</v>
      </c>
      <c r="I678" s="62" t="s">
        <v>89</v>
      </c>
      <c r="J678" s="62" t="s">
        <v>136</v>
      </c>
      <c r="K678" s="62" t="s">
        <v>136</v>
      </c>
      <c r="L678" s="62" t="s">
        <v>128</v>
      </c>
      <c r="M678" s="62" t="s">
        <v>137</v>
      </c>
      <c r="N678" s="5">
        <v>0</v>
      </c>
      <c r="O678" s="8">
        <v>0</v>
      </c>
      <c r="P678" s="69">
        <v>113000</v>
      </c>
      <c r="Q678" s="69">
        <v>196000</v>
      </c>
      <c r="R678" s="69">
        <v>154500</v>
      </c>
      <c r="S678" s="62" t="s">
        <v>138</v>
      </c>
      <c r="T678" s="8">
        <f t="shared" ref="T678:T684" si="39">2023-H678</f>
        <v>242</v>
      </c>
      <c r="U678" s="8">
        <v>0</v>
      </c>
      <c r="V678" s="8">
        <v>1</v>
      </c>
      <c r="W678" s="8">
        <v>1</v>
      </c>
      <c r="X678" s="8">
        <v>1</v>
      </c>
      <c r="Y678" s="8">
        <v>1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1</v>
      </c>
      <c r="AF678" s="8">
        <v>0</v>
      </c>
      <c r="AG678" s="8">
        <v>0</v>
      </c>
      <c r="AH678" s="8">
        <v>0</v>
      </c>
      <c r="AI678" s="8">
        <v>1</v>
      </c>
      <c r="AJ678" s="8">
        <v>0</v>
      </c>
      <c r="AK678" s="62" t="s">
        <v>146</v>
      </c>
      <c r="AL678" s="62" t="s">
        <v>50</v>
      </c>
      <c r="AM678" s="62" t="s">
        <v>51</v>
      </c>
      <c r="AN678" s="5"/>
      <c r="AO678" s="7"/>
    </row>
    <row r="679" spans="1:41" ht="15.75" customHeight="1" x14ac:dyDescent="0.25">
      <c r="A679" s="4">
        <v>678</v>
      </c>
      <c r="B679" s="5" t="s">
        <v>39</v>
      </c>
      <c r="C679" s="58">
        <v>3.4</v>
      </c>
      <c r="D679" s="61" t="s">
        <v>1090</v>
      </c>
      <c r="E679" s="72" t="s">
        <v>79</v>
      </c>
      <c r="F679" s="62" t="s">
        <v>1091</v>
      </c>
      <c r="G679" s="8" t="s">
        <v>88</v>
      </c>
      <c r="H679" s="8">
        <v>2011</v>
      </c>
      <c r="I679" s="62" t="s">
        <v>44</v>
      </c>
      <c r="J679" s="62" t="s">
        <v>58</v>
      </c>
      <c r="K679" s="62" t="s">
        <v>59</v>
      </c>
      <c r="L679" s="62" t="s">
        <v>83</v>
      </c>
      <c r="M679" s="62" t="s">
        <v>1092</v>
      </c>
      <c r="N679" s="5">
        <v>0</v>
      </c>
      <c r="O679" s="8">
        <v>0</v>
      </c>
      <c r="P679" s="69">
        <v>69000</v>
      </c>
      <c r="Q679" s="69">
        <v>121000</v>
      </c>
      <c r="R679" s="69">
        <v>95000</v>
      </c>
      <c r="S679" s="62" t="s">
        <v>85</v>
      </c>
      <c r="T679" s="8">
        <f t="shared" si="39"/>
        <v>12</v>
      </c>
      <c r="U679" s="8">
        <v>1</v>
      </c>
      <c r="V679" s="8">
        <v>1</v>
      </c>
      <c r="W679" s="8">
        <v>1</v>
      </c>
      <c r="X679" s="8">
        <v>0</v>
      </c>
      <c r="Y679" s="8">
        <v>1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1</v>
      </c>
      <c r="AG679" s="8">
        <v>0</v>
      </c>
      <c r="AH679" s="8">
        <v>0</v>
      </c>
      <c r="AI679" s="8">
        <v>0</v>
      </c>
      <c r="AJ679" s="8">
        <v>0</v>
      </c>
      <c r="AK679" s="62" t="s">
        <v>49</v>
      </c>
      <c r="AL679" s="62" t="s">
        <v>50</v>
      </c>
      <c r="AM679" s="62" t="s">
        <v>77</v>
      </c>
      <c r="AN679" s="5"/>
      <c r="AO679" s="7"/>
    </row>
    <row r="680" spans="1:41" ht="15.75" customHeight="1" x14ac:dyDescent="0.25">
      <c r="A680" s="4">
        <v>679</v>
      </c>
      <c r="B680" s="5" t="s">
        <v>39</v>
      </c>
      <c r="C680" s="58">
        <v>4</v>
      </c>
      <c r="D680" s="61" t="s">
        <v>1087</v>
      </c>
      <c r="E680" s="72" t="s">
        <v>79</v>
      </c>
      <c r="F680" s="62" t="s">
        <v>80</v>
      </c>
      <c r="G680" s="8" t="s">
        <v>43</v>
      </c>
      <c r="H680" s="8">
        <v>2007</v>
      </c>
      <c r="I680" s="62" t="s">
        <v>44</v>
      </c>
      <c r="J680" s="62" t="s">
        <v>1088</v>
      </c>
      <c r="K680" s="62" t="s">
        <v>1042</v>
      </c>
      <c r="L680" s="62" t="s">
        <v>83</v>
      </c>
      <c r="M680" s="62" t="s">
        <v>1089</v>
      </c>
      <c r="N680" s="5">
        <v>0</v>
      </c>
      <c r="O680" s="8">
        <v>0</v>
      </c>
      <c r="P680" s="69">
        <v>71000</v>
      </c>
      <c r="Q680" s="69">
        <v>124000</v>
      </c>
      <c r="R680" s="69">
        <v>97500</v>
      </c>
      <c r="S680" s="62" t="s">
        <v>85</v>
      </c>
      <c r="T680" s="8">
        <f t="shared" si="39"/>
        <v>16</v>
      </c>
      <c r="U680" s="8">
        <v>1</v>
      </c>
      <c r="V680" s="8">
        <v>0</v>
      </c>
      <c r="W680" s="8">
        <v>0</v>
      </c>
      <c r="X680" s="8">
        <v>1</v>
      </c>
      <c r="Y680" s="8">
        <v>1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62" t="s">
        <v>49</v>
      </c>
      <c r="AL680" s="62" t="s">
        <v>50</v>
      </c>
      <c r="AM680" s="62" t="s">
        <v>77</v>
      </c>
      <c r="AN680" s="5"/>
      <c r="AO680" s="7"/>
    </row>
    <row r="681" spans="1:41" ht="15.75" customHeight="1" x14ac:dyDescent="0.25">
      <c r="A681" s="4">
        <v>680</v>
      </c>
      <c r="B681" s="5" t="s">
        <v>220</v>
      </c>
      <c r="C681" s="58">
        <v>4.4000000000000004</v>
      </c>
      <c r="D681" s="61" t="s">
        <v>489</v>
      </c>
      <c r="E681" s="72" t="s">
        <v>172</v>
      </c>
      <c r="F681" s="62" t="s">
        <v>172</v>
      </c>
      <c r="G681" s="8" t="s">
        <v>88</v>
      </c>
      <c r="H681" s="8">
        <v>2008</v>
      </c>
      <c r="I681" s="62" t="s">
        <v>44</v>
      </c>
      <c r="J681" s="62" t="s">
        <v>100</v>
      </c>
      <c r="K681" s="62" t="s">
        <v>65</v>
      </c>
      <c r="L681" s="62" t="s">
        <v>46</v>
      </c>
      <c r="M681" s="62" t="s">
        <v>47</v>
      </c>
      <c r="N681" s="5">
        <v>0</v>
      </c>
      <c r="O681" s="8">
        <v>0</v>
      </c>
      <c r="P681" s="69">
        <v>97000</v>
      </c>
      <c r="Q681" s="69">
        <v>160000</v>
      </c>
      <c r="R681" s="69">
        <v>128500</v>
      </c>
      <c r="S681" s="62" t="s">
        <v>176</v>
      </c>
      <c r="T681" s="8">
        <f t="shared" si="39"/>
        <v>15</v>
      </c>
      <c r="U681" s="8">
        <v>1</v>
      </c>
      <c r="V681" s="8">
        <v>0</v>
      </c>
      <c r="W681" s="8">
        <v>1</v>
      </c>
      <c r="X681" s="8">
        <v>1</v>
      </c>
      <c r="Y681" s="8">
        <v>1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1</v>
      </c>
      <c r="AF681" s="8">
        <v>1</v>
      </c>
      <c r="AG681" s="8">
        <v>0</v>
      </c>
      <c r="AH681" s="8">
        <v>0</v>
      </c>
      <c r="AI681" s="8">
        <v>0</v>
      </c>
      <c r="AJ681" s="8">
        <v>0</v>
      </c>
      <c r="AK681" s="62" t="s">
        <v>49</v>
      </c>
      <c r="AL681" s="62" t="s">
        <v>169</v>
      </c>
      <c r="AM681" s="62" t="s">
        <v>77</v>
      </c>
      <c r="AN681" s="5"/>
      <c r="AO681" s="7"/>
    </row>
    <row r="682" spans="1:41" ht="15.75" customHeight="1" x14ac:dyDescent="0.25">
      <c r="A682" s="4">
        <v>681</v>
      </c>
      <c r="B682" s="5" t="s">
        <v>658</v>
      </c>
      <c r="C682" s="58">
        <v>2.6</v>
      </c>
      <c r="D682" s="61" t="s">
        <v>530</v>
      </c>
      <c r="E682" s="72" t="s">
        <v>342</v>
      </c>
      <c r="F682" s="62" t="s">
        <v>342</v>
      </c>
      <c r="G682" s="8" t="s">
        <v>43</v>
      </c>
      <c r="H682" s="8">
        <v>1984</v>
      </c>
      <c r="I682" s="62" t="s">
        <v>531</v>
      </c>
      <c r="J682" s="62" t="s">
        <v>532</v>
      </c>
      <c r="K682" s="62" t="s">
        <v>415</v>
      </c>
      <c r="L682" s="62" t="s">
        <v>83</v>
      </c>
      <c r="M682" s="62" t="s">
        <v>47</v>
      </c>
      <c r="N682" s="5">
        <v>0</v>
      </c>
      <c r="O682" s="8">
        <v>0</v>
      </c>
      <c r="P682" s="69">
        <v>81000</v>
      </c>
      <c r="Q682" s="69">
        <v>167000</v>
      </c>
      <c r="R682" s="69">
        <v>124000</v>
      </c>
      <c r="S682" s="62" t="s">
        <v>305</v>
      </c>
      <c r="T682" s="8">
        <f t="shared" si="39"/>
        <v>39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62" t="s">
        <v>508</v>
      </c>
      <c r="AL682" s="62" t="s">
        <v>169</v>
      </c>
      <c r="AM682" s="62" t="s">
        <v>108</v>
      </c>
      <c r="AN682" s="5"/>
      <c r="AO682" s="7"/>
    </row>
    <row r="683" spans="1:41" ht="15.75" customHeight="1" x14ac:dyDescent="0.25">
      <c r="A683" s="4">
        <v>682</v>
      </c>
      <c r="B683" s="5" t="s">
        <v>1079</v>
      </c>
      <c r="C683" s="58">
        <v>3.2</v>
      </c>
      <c r="D683" s="61" t="s">
        <v>1093</v>
      </c>
      <c r="E683" s="72" t="s">
        <v>98</v>
      </c>
      <c r="F683" s="62" t="s">
        <v>114</v>
      </c>
      <c r="G683" s="8" t="s">
        <v>43</v>
      </c>
      <c r="H683" s="8">
        <v>2006</v>
      </c>
      <c r="I683" s="62" t="s">
        <v>142</v>
      </c>
      <c r="J683" s="62" t="s">
        <v>155</v>
      </c>
      <c r="K683" s="62" t="s">
        <v>111</v>
      </c>
      <c r="L683" s="62" t="s">
        <v>83</v>
      </c>
      <c r="M683" s="62" t="s">
        <v>1094</v>
      </c>
      <c r="N683" s="5">
        <v>0</v>
      </c>
      <c r="O683" s="8">
        <v>0</v>
      </c>
      <c r="P683" s="69">
        <v>150000</v>
      </c>
      <c r="Q683" s="69">
        <v>238000</v>
      </c>
      <c r="R683" s="69">
        <v>194000</v>
      </c>
      <c r="S683" s="62" t="s">
        <v>102</v>
      </c>
      <c r="T683" s="8">
        <f t="shared" si="39"/>
        <v>17</v>
      </c>
      <c r="U683" s="8">
        <v>0</v>
      </c>
      <c r="V683" s="8">
        <v>0</v>
      </c>
      <c r="W683" s="8">
        <v>1</v>
      </c>
      <c r="X683" s="8">
        <v>1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62" t="s">
        <v>49</v>
      </c>
      <c r="AL683" s="62" t="s">
        <v>169</v>
      </c>
      <c r="AM683" s="62" t="s">
        <v>77</v>
      </c>
      <c r="AN683" s="5"/>
      <c r="AO683" s="7"/>
    </row>
    <row r="684" spans="1:41" ht="15.75" customHeight="1" x14ac:dyDescent="0.25">
      <c r="A684" s="4">
        <v>683</v>
      </c>
      <c r="B684" s="5" t="s">
        <v>856</v>
      </c>
      <c r="C684" s="58">
        <v>3.7</v>
      </c>
      <c r="D684" s="61" t="s">
        <v>857</v>
      </c>
      <c r="E684" s="72" t="s">
        <v>858</v>
      </c>
      <c r="F684" s="62" t="s">
        <v>858</v>
      </c>
      <c r="G684" s="8" t="s">
        <v>43</v>
      </c>
      <c r="H684" s="8">
        <v>1966</v>
      </c>
      <c r="I684" s="62" t="s">
        <v>106</v>
      </c>
      <c r="J684" s="62" t="s">
        <v>58</v>
      </c>
      <c r="K684" s="62" t="s">
        <v>59</v>
      </c>
      <c r="L684" s="62" t="s">
        <v>66</v>
      </c>
      <c r="M684" s="62" t="s">
        <v>47</v>
      </c>
      <c r="N684" s="5">
        <v>1</v>
      </c>
      <c r="O684" s="8">
        <v>0</v>
      </c>
      <c r="P684" s="69">
        <v>49000</v>
      </c>
      <c r="Q684" s="69">
        <v>81000</v>
      </c>
      <c r="R684" s="69">
        <v>65000</v>
      </c>
      <c r="S684" s="62" t="s">
        <v>163</v>
      </c>
      <c r="T684" s="8">
        <f t="shared" si="39"/>
        <v>57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62" t="s">
        <v>107</v>
      </c>
      <c r="AL684" s="62" t="s">
        <v>50</v>
      </c>
      <c r="AM684" s="62" t="s">
        <v>77</v>
      </c>
      <c r="AN684" s="5"/>
      <c r="AO684" s="7"/>
    </row>
    <row r="685" spans="1:41" ht="15.75" customHeight="1" x14ac:dyDescent="0.25">
      <c r="A685" s="4">
        <v>684</v>
      </c>
      <c r="B685" s="5" t="s">
        <v>1097</v>
      </c>
      <c r="C685" s="58">
        <v>4.2</v>
      </c>
      <c r="D685" s="61" t="s">
        <v>520</v>
      </c>
      <c r="E685" s="72" t="s">
        <v>628</v>
      </c>
      <c r="F685" s="62" t="s">
        <v>522</v>
      </c>
      <c r="G685" s="8" t="s">
        <v>56</v>
      </c>
      <c r="H685" s="8" t="s">
        <v>47</v>
      </c>
      <c r="I685" s="62" t="s">
        <v>160</v>
      </c>
      <c r="J685" s="62" t="s">
        <v>523</v>
      </c>
      <c r="K685" s="62" t="s">
        <v>524</v>
      </c>
      <c r="L685" s="62" t="s">
        <v>83</v>
      </c>
      <c r="M685" s="62" t="s">
        <v>47</v>
      </c>
      <c r="N685" s="5">
        <v>0</v>
      </c>
      <c r="O685" s="8">
        <v>0</v>
      </c>
      <c r="P685" s="69">
        <v>35000</v>
      </c>
      <c r="Q685" s="69">
        <v>65000</v>
      </c>
      <c r="R685" s="69">
        <v>50000</v>
      </c>
      <c r="S685" s="62" t="s">
        <v>525</v>
      </c>
      <c r="T685" s="8" t="s">
        <v>47</v>
      </c>
      <c r="U685" s="8">
        <v>0</v>
      </c>
      <c r="V685" s="8">
        <v>0</v>
      </c>
      <c r="W685" s="8">
        <v>1</v>
      </c>
      <c r="X685" s="8">
        <v>1</v>
      </c>
      <c r="Y685" s="8">
        <v>1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62" t="s">
        <v>132</v>
      </c>
      <c r="AL685" s="62" t="s">
        <v>50</v>
      </c>
      <c r="AM685" s="62" t="s">
        <v>77</v>
      </c>
      <c r="AN685" s="5"/>
      <c r="AO685" s="7"/>
    </row>
    <row r="686" spans="1:41" ht="15.75" customHeight="1" x14ac:dyDescent="0.25">
      <c r="A686" s="4">
        <v>685</v>
      </c>
      <c r="B686" s="5" t="s">
        <v>39</v>
      </c>
      <c r="C686" s="58">
        <v>3.5</v>
      </c>
      <c r="D686" s="61" t="s">
        <v>1095</v>
      </c>
      <c r="E686" s="72" t="s">
        <v>79</v>
      </c>
      <c r="F686" s="62" t="s">
        <v>80</v>
      </c>
      <c r="G686" s="8" t="s">
        <v>88</v>
      </c>
      <c r="H686" s="8">
        <v>2005</v>
      </c>
      <c r="I686" s="62" t="s">
        <v>89</v>
      </c>
      <c r="J686" s="62" t="s">
        <v>82</v>
      </c>
      <c r="K686" s="62" t="s">
        <v>65</v>
      </c>
      <c r="L686" s="62" t="s">
        <v>83</v>
      </c>
      <c r="M686" s="62" t="s">
        <v>47</v>
      </c>
      <c r="N686" s="5">
        <v>0</v>
      </c>
      <c r="O686" s="8">
        <v>0</v>
      </c>
      <c r="P686" s="69">
        <v>77000</v>
      </c>
      <c r="Q686" s="69">
        <v>132000</v>
      </c>
      <c r="R686" s="69">
        <v>104500</v>
      </c>
      <c r="S686" s="62" t="s">
        <v>85</v>
      </c>
      <c r="T686" s="8">
        <f t="shared" ref="T686:T701" si="40">2023-H686</f>
        <v>18</v>
      </c>
      <c r="U686" s="8">
        <v>1</v>
      </c>
      <c r="V686" s="8">
        <v>1</v>
      </c>
      <c r="W686" s="8">
        <v>1</v>
      </c>
      <c r="X686" s="8">
        <v>1</v>
      </c>
      <c r="Y686" s="8">
        <v>1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62" t="s">
        <v>49</v>
      </c>
      <c r="AL686" s="62" t="s">
        <v>50</v>
      </c>
      <c r="AM686" s="62" t="s">
        <v>51</v>
      </c>
      <c r="AN686" s="5"/>
      <c r="AO686" s="7"/>
    </row>
    <row r="687" spans="1:41" ht="15.75" customHeight="1" x14ac:dyDescent="0.25">
      <c r="A687" s="4">
        <v>686</v>
      </c>
      <c r="B687" s="5" t="s">
        <v>39</v>
      </c>
      <c r="C687" s="58">
        <v>4.3</v>
      </c>
      <c r="D687" s="61" t="s">
        <v>1211</v>
      </c>
      <c r="E687" s="72" t="s">
        <v>435</v>
      </c>
      <c r="F687" s="62" t="s">
        <v>1031</v>
      </c>
      <c r="G687" s="8" t="s">
        <v>88</v>
      </c>
      <c r="H687" s="8">
        <v>1969</v>
      </c>
      <c r="I687" s="62" t="s">
        <v>44</v>
      </c>
      <c r="J687" s="62" t="s">
        <v>213</v>
      </c>
      <c r="K687" s="62" t="s">
        <v>111</v>
      </c>
      <c r="L687" s="62" t="s">
        <v>46</v>
      </c>
      <c r="M687" s="62" t="s">
        <v>47</v>
      </c>
      <c r="N687" s="5">
        <v>0</v>
      </c>
      <c r="O687" s="8">
        <v>0</v>
      </c>
      <c r="P687" s="69">
        <v>51000</v>
      </c>
      <c r="Q687" s="69">
        <v>88000</v>
      </c>
      <c r="R687" s="69">
        <v>69500</v>
      </c>
      <c r="S687" s="62" t="s">
        <v>436</v>
      </c>
      <c r="T687" s="8">
        <f t="shared" si="40"/>
        <v>54</v>
      </c>
      <c r="U687" s="8">
        <v>1</v>
      </c>
      <c r="V687" s="8">
        <v>0</v>
      </c>
      <c r="W687" s="8">
        <v>0</v>
      </c>
      <c r="X687" s="8">
        <v>1</v>
      </c>
      <c r="Y687" s="8">
        <v>1</v>
      </c>
      <c r="Z687" s="8">
        <v>1</v>
      </c>
      <c r="AA687" s="8">
        <v>0</v>
      </c>
      <c r="AB687" s="8">
        <v>0</v>
      </c>
      <c r="AC687" s="8">
        <v>1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62" t="s">
        <v>49</v>
      </c>
      <c r="AL687" s="62" t="s">
        <v>50</v>
      </c>
      <c r="AM687" s="62" t="s">
        <v>77</v>
      </c>
      <c r="AN687" s="5"/>
      <c r="AO687" s="7"/>
    </row>
    <row r="688" spans="1:41" ht="15.75" customHeight="1" x14ac:dyDescent="0.25">
      <c r="A688" s="4">
        <v>687</v>
      </c>
      <c r="B688" s="5" t="s">
        <v>39</v>
      </c>
      <c r="C688" s="58">
        <v>2.6</v>
      </c>
      <c r="D688" s="61" t="s">
        <v>1212</v>
      </c>
      <c r="E688" s="72" t="s">
        <v>1077</v>
      </c>
      <c r="F688" s="62" t="s">
        <v>1077</v>
      </c>
      <c r="G688" s="8" t="s">
        <v>56</v>
      </c>
      <c r="H688" s="8">
        <v>1997</v>
      </c>
      <c r="I688" s="62" t="s">
        <v>44</v>
      </c>
      <c r="J688" s="62" t="s">
        <v>532</v>
      </c>
      <c r="K688" s="62" t="s">
        <v>415</v>
      </c>
      <c r="L688" s="62" t="s">
        <v>83</v>
      </c>
      <c r="M688" s="62" t="s">
        <v>47</v>
      </c>
      <c r="N688" s="5">
        <v>0</v>
      </c>
      <c r="O688" s="8">
        <v>0</v>
      </c>
      <c r="P688" s="69">
        <v>101000</v>
      </c>
      <c r="Q688" s="69">
        <v>141000</v>
      </c>
      <c r="R688" s="69">
        <v>121000</v>
      </c>
      <c r="S688" s="62" t="s">
        <v>102</v>
      </c>
      <c r="T688" s="8">
        <f t="shared" si="40"/>
        <v>26</v>
      </c>
      <c r="U688" s="8">
        <v>1</v>
      </c>
      <c r="V688" s="8">
        <v>0</v>
      </c>
      <c r="W688" s="8">
        <v>0</v>
      </c>
      <c r="X688" s="8">
        <v>0</v>
      </c>
      <c r="Y688" s="8">
        <v>1</v>
      </c>
      <c r="Z688" s="8">
        <v>1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1</v>
      </c>
      <c r="AG688" s="8">
        <v>1</v>
      </c>
      <c r="AH688" s="8">
        <v>0</v>
      </c>
      <c r="AI688" s="8">
        <v>0</v>
      </c>
      <c r="AJ688" s="8">
        <v>0</v>
      </c>
      <c r="AK688" s="62" t="s">
        <v>49</v>
      </c>
      <c r="AL688" s="62" t="s">
        <v>50</v>
      </c>
      <c r="AM688" s="62" t="s">
        <v>51</v>
      </c>
      <c r="AN688" s="5"/>
      <c r="AO688" s="7"/>
    </row>
    <row r="689" spans="1:41" ht="15.75" customHeight="1" x14ac:dyDescent="0.25">
      <c r="A689" s="4">
        <v>688</v>
      </c>
      <c r="B689" s="5" t="s">
        <v>1096</v>
      </c>
      <c r="C689" s="58">
        <v>4.2</v>
      </c>
      <c r="D689" s="61" t="s">
        <v>212</v>
      </c>
      <c r="E689" s="72" t="s">
        <v>420</v>
      </c>
      <c r="F689" s="62" t="s">
        <v>172</v>
      </c>
      <c r="G689" s="8" t="s">
        <v>88</v>
      </c>
      <c r="H689" s="8">
        <v>2008</v>
      </c>
      <c r="I689" s="62" t="s">
        <v>44</v>
      </c>
      <c r="J689" s="62" t="s">
        <v>213</v>
      </c>
      <c r="K689" s="62" t="s">
        <v>111</v>
      </c>
      <c r="L689" s="62" t="s">
        <v>83</v>
      </c>
      <c r="M689" s="62" t="s">
        <v>47</v>
      </c>
      <c r="N689" s="5">
        <v>0</v>
      </c>
      <c r="O689" s="8">
        <v>0</v>
      </c>
      <c r="P689" s="69">
        <v>59000</v>
      </c>
      <c r="Q689" s="69">
        <v>112000</v>
      </c>
      <c r="R689" s="69">
        <v>85500</v>
      </c>
      <c r="S689" s="62" t="s">
        <v>423</v>
      </c>
      <c r="T689" s="8">
        <f t="shared" si="40"/>
        <v>15</v>
      </c>
      <c r="U689" s="8">
        <v>1</v>
      </c>
      <c r="V689" s="8">
        <v>0</v>
      </c>
      <c r="W689" s="8">
        <v>0</v>
      </c>
      <c r="X689" s="8">
        <v>1</v>
      </c>
      <c r="Y689" s="8">
        <v>1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1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62" t="s">
        <v>146</v>
      </c>
      <c r="AL689" s="62" t="s">
        <v>50</v>
      </c>
      <c r="AM689" s="62" t="s">
        <v>77</v>
      </c>
      <c r="AN689" s="5"/>
      <c r="AO689" s="7"/>
    </row>
    <row r="690" spans="1:41" ht="15.75" customHeight="1" x14ac:dyDescent="0.25">
      <c r="A690" s="4">
        <v>689</v>
      </c>
      <c r="B690" s="5" t="s">
        <v>224</v>
      </c>
      <c r="C690" s="58">
        <v>3.1</v>
      </c>
      <c r="D690" s="61" t="s">
        <v>691</v>
      </c>
      <c r="E690" s="72" t="s">
        <v>1098</v>
      </c>
      <c r="F690" s="62" t="s">
        <v>692</v>
      </c>
      <c r="G690" s="8" t="s">
        <v>70</v>
      </c>
      <c r="H690" s="8">
        <v>1997</v>
      </c>
      <c r="I690" s="62" t="s">
        <v>89</v>
      </c>
      <c r="J690" s="62" t="s">
        <v>693</v>
      </c>
      <c r="K690" s="62" t="s">
        <v>144</v>
      </c>
      <c r="L690" s="62" t="s">
        <v>128</v>
      </c>
      <c r="M690" s="62" t="s">
        <v>694</v>
      </c>
      <c r="N690" s="5">
        <v>0</v>
      </c>
      <c r="O690" s="8">
        <v>0</v>
      </c>
      <c r="P690" s="69">
        <v>79000</v>
      </c>
      <c r="Q690" s="69">
        <v>147000</v>
      </c>
      <c r="R690" s="69">
        <v>113000</v>
      </c>
      <c r="S690" s="62" t="s">
        <v>102</v>
      </c>
      <c r="T690" s="8">
        <f t="shared" si="40"/>
        <v>26</v>
      </c>
      <c r="U690" s="8">
        <v>1</v>
      </c>
      <c r="V690" s="8">
        <v>1</v>
      </c>
      <c r="W690" s="8">
        <v>1</v>
      </c>
      <c r="X690" s="8">
        <v>1</v>
      </c>
      <c r="Y690" s="8">
        <v>1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1</v>
      </c>
      <c r="AJ690" s="8">
        <v>0</v>
      </c>
      <c r="AK690" s="62" t="s">
        <v>146</v>
      </c>
      <c r="AL690" s="62" t="s">
        <v>50</v>
      </c>
      <c r="AM690" s="62" t="s">
        <v>77</v>
      </c>
      <c r="AN690" s="5"/>
      <c r="AO690" s="7"/>
    </row>
    <row r="691" spans="1:41" ht="15.75" customHeight="1" x14ac:dyDescent="0.25">
      <c r="A691" s="4">
        <v>690</v>
      </c>
      <c r="B691" s="5" t="s">
        <v>1213</v>
      </c>
      <c r="C691" s="58">
        <v>3.8</v>
      </c>
      <c r="D691" s="61" t="s">
        <v>1214</v>
      </c>
      <c r="E691" s="72" t="s">
        <v>98</v>
      </c>
      <c r="F691" s="62" t="s">
        <v>1051</v>
      </c>
      <c r="G691" s="8" t="s">
        <v>88</v>
      </c>
      <c r="H691" s="8">
        <v>2005</v>
      </c>
      <c r="I691" s="62" t="s">
        <v>142</v>
      </c>
      <c r="J691" s="62" t="s">
        <v>499</v>
      </c>
      <c r="K691" s="62" t="s">
        <v>427</v>
      </c>
      <c r="L691" s="62" t="s">
        <v>101</v>
      </c>
      <c r="M691" s="62" t="s">
        <v>47</v>
      </c>
      <c r="N691" s="5">
        <v>0</v>
      </c>
      <c r="O691" s="8">
        <v>0</v>
      </c>
      <c r="P691" s="69">
        <v>79000</v>
      </c>
      <c r="Q691" s="69">
        <v>127000</v>
      </c>
      <c r="R691" s="69">
        <v>103000</v>
      </c>
      <c r="S691" s="62" t="s">
        <v>102</v>
      </c>
      <c r="T691" s="8">
        <f t="shared" si="40"/>
        <v>18</v>
      </c>
      <c r="U691" s="8">
        <v>1</v>
      </c>
      <c r="V691" s="8">
        <v>0</v>
      </c>
      <c r="W691" s="8">
        <v>1</v>
      </c>
      <c r="X691" s="8">
        <v>0</v>
      </c>
      <c r="Y691" s="8">
        <v>1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1</v>
      </c>
      <c r="AG691" s="8">
        <v>1</v>
      </c>
      <c r="AH691" s="8">
        <v>0</v>
      </c>
      <c r="AI691" s="8">
        <v>0</v>
      </c>
      <c r="AJ691" s="8">
        <v>0</v>
      </c>
      <c r="AK691" s="62" t="s">
        <v>49</v>
      </c>
      <c r="AL691" s="62" t="s">
        <v>50</v>
      </c>
      <c r="AM691" s="62" t="s">
        <v>51</v>
      </c>
      <c r="AN691" s="5"/>
      <c r="AO691" s="7"/>
    </row>
    <row r="692" spans="1:41" ht="15.75" customHeight="1" x14ac:dyDescent="0.25">
      <c r="A692" s="4">
        <v>691</v>
      </c>
      <c r="B692" s="5" t="s">
        <v>1099</v>
      </c>
      <c r="C692" s="58">
        <v>3.9</v>
      </c>
      <c r="D692" s="61" t="s">
        <v>1100</v>
      </c>
      <c r="E692" s="72" t="s">
        <v>134</v>
      </c>
      <c r="F692" s="62" t="s">
        <v>1101</v>
      </c>
      <c r="G692" s="8" t="s">
        <v>56</v>
      </c>
      <c r="H692" s="8">
        <v>1830</v>
      </c>
      <c r="I692" s="62" t="s">
        <v>89</v>
      </c>
      <c r="J692" s="62" t="s">
        <v>136</v>
      </c>
      <c r="K692" s="62" t="s">
        <v>136</v>
      </c>
      <c r="L692" s="62" t="s">
        <v>128</v>
      </c>
      <c r="M692" s="62" t="s">
        <v>1102</v>
      </c>
      <c r="N692" s="5">
        <v>0</v>
      </c>
      <c r="O692" s="8">
        <v>0</v>
      </c>
      <c r="P692" s="69">
        <v>62000</v>
      </c>
      <c r="Q692" s="69">
        <v>119000</v>
      </c>
      <c r="R692" s="69">
        <v>90500</v>
      </c>
      <c r="S692" s="62" t="s">
        <v>138</v>
      </c>
      <c r="T692" s="8">
        <f t="shared" si="40"/>
        <v>193</v>
      </c>
      <c r="U692" s="8">
        <v>0</v>
      </c>
      <c r="V692" s="8">
        <v>0</v>
      </c>
      <c r="W692" s="8">
        <v>1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62" t="s">
        <v>107</v>
      </c>
      <c r="AL692" s="62" t="s">
        <v>50</v>
      </c>
      <c r="AM692" s="62" t="s">
        <v>51</v>
      </c>
      <c r="AN692" s="5"/>
      <c r="AO692" s="7"/>
    </row>
    <row r="693" spans="1:41" ht="15.75" customHeight="1" x14ac:dyDescent="0.25">
      <c r="A693" s="4">
        <v>692</v>
      </c>
      <c r="B693" s="5" t="s">
        <v>220</v>
      </c>
      <c r="C693" s="58">
        <v>4.3</v>
      </c>
      <c r="D693" s="61" t="s">
        <v>1103</v>
      </c>
      <c r="E693" s="72" t="s">
        <v>461</v>
      </c>
      <c r="F693" s="62" t="s">
        <v>462</v>
      </c>
      <c r="G693" s="8" t="s">
        <v>81</v>
      </c>
      <c r="H693" s="8">
        <v>2008</v>
      </c>
      <c r="I693" s="62" t="s">
        <v>44</v>
      </c>
      <c r="J693" s="62" t="s">
        <v>216</v>
      </c>
      <c r="K693" s="62" t="s">
        <v>111</v>
      </c>
      <c r="L693" s="62" t="s">
        <v>83</v>
      </c>
      <c r="M693" s="62" t="s">
        <v>1104</v>
      </c>
      <c r="N693" s="5">
        <v>0</v>
      </c>
      <c r="O693" s="8">
        <v>0</v>
      </c>
      <c r="P693" s="69">
        <v>119000</v>
      </c>
      <c r="Q693" s="69">
        <v>187000</v>
      </c>
      <c r="R693" s="69">
        <v>153000</v>
      </c>
      <c r="S693" s="62" t="s">
        <v>102</v>
      </c>
      <c r="T693" s="8">
        <f t="shared" si="40"/>
        <v>15</v>
      </c>
      <c r="U693" s="8">
        <v>1</v>
      </c>
      <c r="V693" s="8">
        <v>1</v>
      </c>
      <c r="W693" s="8">
        <v>0</v>
      </c>
      <c r="X693" s="8">
        <v>1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62" t="s">
        <v>49</v>
      </c>
      <c r="AL693" s="62" t="s">
        <v>169</v>
      </c>
      <c r="AM693" s="62" t="s">
        <v>77</v>
      </c>
      <c r="AN693" s="5"/>
      <c r="AO693" s="7"/>
    </row>
    <row r="694" spans="1:41" ht="15.75" customHeight="1" x14ac:dyDescent="0.25">
      <c r="A694" s="4">
        <v>693</v>
      </c>
      <c r="B694" s="5" t="s">
        <v>1215</v>
      </c>
      <c r="C694" s="58">
        <v>3.2</v>
      </c>
      <c r="D694" s="61" t="s">
        <v>394</v>
      </c>
      <c r="E694" s="72" t="s">
        <v>395</v>
      </c>
      <c r="F694" s="62" t="s">
        <v>396</v>
      </c>
      <c r="G694" s="8" t="s">
        <v>120</v>
      </c>
      <c r="H694" s="8">
        <v>1958</v>
      </c>
      <c r="I694" s="62" t="s">
        <v>160</v>
      </c>
      <c r="J694" s="62" t="s">
        <v>397</v>
      </c>
      <c r="K694" s="62" t="s">
        <v>71</v>
      </c>
      <c r="L694" s="62" t="s">
        <v>91</v>
      </c>
      <c r="M694" s="62" t="s">
        <v>398</v>
      </c>
      <c r="N694" s="5">
        <v>0</v>
      </c>
      <c r="O694" s="8">
        <v>0</v>
      </c>
      <c r="P694" s="69">
        <v>81000</v>
      </c>
      <c r="Q694" s="69">
        <v>132000</v>
      </c>
      <c r="R694" s="69">
        <v>106500</v>
      </c>
      <c r="S694" s="62" t="s">
        <v>122</v>
      </c>
      <c r="T694" s="8">
        <f t="shared" si="40"/>
        <v>65</v>
      </c>
      <c r="U694" s="8">
        <v>1</v>
      </c>
      <c r="V694" s="8">
        <v>1</v>
      </c>
      <c r="W694" s="8">
        <v>0</v>
      </c>
      <c r="X694" s="8">
        <v>1</v>
      </c>
      <c r="Y694" s="8">
        <v>1</v>
      </c>
      <c r="Z694" s="8">
        <v>1</v>
      </c>
      <c r="AA694" s="8">
        <v>0</v>
      </c>
      <c r="AB694" s="8">
        <v>0</v>
      </c>
      <c r="AC694" s="8">
        <v>0</v>
      </c>
      <c r="AD694" s="8">
        <v>0</v>
      </c>
      <c r="AE694" s="8">
        <v>1</v>
      </c>
      <c r="AF694" s="8">
        <v>1</v>
      </c>
      <c r="AG694" s="8">
        <v>0</v>
      </c>
      <c r="AH694" s="8">
        <v>0</v>
      </c>
      <c r="AI694" s="8">
        <v>0</v>
      </c>
      <c r="AJ694" s="8">
        <v>0</v>
      </c>
      <c r="AK694" s="62" t="s">
        <v>49</v>
      </c>
      <c r="AL694" s="62" t="s">
        <v>357</v>
      </c>
      <c r="AM694" s="62" t="s">
        <v>77</v>
      </c>
      <c r="AN694" s="5"/>
      <c r="AO694" s="7"/>
    </row>
    <row r="695" spans="1:41" ht="15.75" customHeight="1" x14ac:dyDescent="0.25">
      <c r="A695" s="4">
        <v>694</v>
      </c>
      <c r="B695" s="5" t="s">
        <v>220</v>
      </c>
      <c r="C695" s="58">
        <v>5</v>
      </c>
      <c r="D695" s="61" t="s">
        <v>1216</v>
      </c>
      <c r="E695" s="72" t="s">
        <v>1217</v>
      </c>
      <c r="F695" s="62" t="s">
        <v>1218</v>
      </c>
      <c r="G695" s="8" t="s">
        <v>81</v>
      </c>
      <c r="H695" s="8">
        <v>2011</v>
      </c>
      <c r="I695" s="62" t="s">
        <v>44</v>
      </c>
      <c r="J695" s="62" t="s">
        <v>216</v>
      </c>
      <c r="K695" s="62" t="s">
        <v>111</v>
      </c>
      <c r="L695" s="62" t="s">
        <v>83</v>
      </c>
      <c r="M695" s="62" t="s">
        <v>47</v>
      </c>
      <c r="N695" s="5">
        <v>0</v>
      </c>
      <c r="O695" s="8">
        <v>1</v>
      </c>
      <c r="P695" s="69">
        <v>120000</v>
      </c>
      <c r="Q695" s="69">
        <v>140000</v>
      </c>
      <c r="R695" s="69">
        <v>130000</v>
      </c>
      <c r="S695" s="62" t="s">
        <v>200</v>
      </c>
      <c r="T695" s="8">
        <f t="shared" si="40"/>
        <v>12</v>
      </c>
      <c r="U695" s="8">
        <v>0</v>
      </c>
      <c r="V695" s="8">
        <v>0</v>
      </c>
      <c r="W695" s="8">
        <v>0</v>
      </c>
      <c r="X695" s="8">
        <v>1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62" t="s">
        <v>49</v>
      </c>
      <c r="AL695" s="62" t="s">
        <v>169</v>
      </c>
      <c r="AM695" s="62" t="s">
        <v>51</v>
      </c>
      <c r="AN695" s="5"/>
      <c r="AO695" s="7"/>
    </row>
    <row r="696" spans="1:41" ht="15.75" customHeight="1" x14ac:dyDescent="0.25">
      <c r="A696" s="4">
        <v>695</v>
      </c>
      <c r="B696" s="5" t="s">
        <v>1105</v>
      </c>
      <c r="C696" s="58">
        <v>3.3</v>
      </c>
      <c r="D696" s="61" t="s">
        <v>1106</v>
      </c>
      <c r="E696" s="72" t="s">
        <v>1107</v>
      </c>
      <c r="F696" s="62" t="s">
        <v>1107</v>
      </c>
      <c r="G696" s="8" t="s">
        <v>70</v>
      </c>
      <c r="H696" s="8">
        <v>1988</v>
      </c>
      <c r="I696" s="62" t="s">
        <v>89</v>
      </c>
      <c r="J696" s="62" t="s">
        <v>100</v>
      </c>
      <c r="K696" s="62" t="s">
        <v>65</v>
      </c>
      <c r="L696" s="62" t="s">
        <v>60</v>
      </c>
      <c r="M696" s="62" t="s">
        <v>1108</v>
      </c>
      <c r="N696" s="5">
        <v>0</v>
      </c>
      <c r="O696" s="8">
        <v>0</v>
      </c>
      <c r="P696" s="69">
        <v>90000</v>
      </c>
      <c r="Q696" s="69">
        <v>157000</v>
      </c>
      <c r="R696" s="69">
        <v>123500</v>
      </c>
      <c r="S696" s="62" t="s">
        <v>102</v>
      </c>
      <c r="T696" s="8">
        <f t="shared" si="40"/>
        <v>35</v>
      </c>
      <c r="U696" s="8">
        <v>0</v>
      </c>
      <c r="V696" s="8">
        <v>0</v>
      </c>
      <c r="W696" s="8">
        <v>0</v>
      </c>
      <c r="X696" s="8">
        <v>1</v>
      </c>
      <c r="Y696" s="8">
        <v>1</v>
      </c>
      <c r="Z696" s="8">
        <v>1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1</v>
      </c>
      <c r="AG696" s="8">
        <v>0</v>
      </c>
      <c r="AH696" s="8">
        <v>0</v>
      </c>
      <c r="AI696" s="8">
        <v>1</v>
      </c>
      <c r="AJ696" s="8">
        <v>0</v>
      </c>
      <c r="AK696" s="62" t="s">
        <v>132</v>
      </c>
      <c r="AL696" s="62" t="s">
        <v>50</v>
      </c>
      <c r="AM696" s="62" t="s">
        <v>51</v>
      </c>
      <c r="AN696" s="5"/>
      <c r="AO696" s="7"/>
    </row>
    <row r="697" spans="1:41" ht="15.75" customHeight="1" x14ac:dyDescent="0.25">
      <c r="A697" s="4">
        <v>696</v>
      </c>
      <c r="B697" s="5" t="s">
        <v>1219</v>
      </c>
      <c r="C697" s="58">
        <v>4.3</v>
      </c>
      <c r="D697" s="61" t="s">
        <v>1057</v>
      </c>
      <c r="E697" s="72" t="s">
        <v>79</v>
      </c>
      <c r="F697" s="62" t="s">
        <v>80</v>
      </c>
      <c r="G697" s="8" t="s">
        <v>70</v>
      </c>
      <c r="H697" s="8">
        <v>1999</v>
      </c>
      <c r="I697" s="62" t="s">
        <v>89</v>
      </c>
      <c r="J697" s="62" t="s">
        <v>155</v>
      </c>
      <c r="K697" s="62" t="s">
        <v>111</v>
      </c>
      <c r="L697" s="62" t="s">
        <v>74</v>
      </c>
      <c r="M697" s="62" t="s">
        <v>1058</v>
      </c>
      <c r="N697" s="5">
        <v>0</v>
      </c>
      <c r="O697" s="8">
        <v>0</v>
      </c>
      <c r="P697" s="69">
        <v>63000</v>
      </c>
      <c r="Q697" s="69">
        <v>110000</v>
      </c>
      <c r="R697" s="69">
        <v>86500</v>
      </c>
      <c r="S697" s="62" t="s">
        <v>85</v>
      </c>
      <c r="T697" s="8">
        <f t="shared" si="40"/>
        <v>24</v>
      </c>
      <c r="U697" s="8">
        <v>0</v>
      </c>
      <c r="V697" s="8">
        <v>0</v>
      </c>
      <c r="W697" s="8">
        <v>1</v>
      </c>
      <c r="X697" s="8">
        <v>1</v>
      </c>
      <c r="Y697" s="8">
        <v>1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62" t="s">
        <v>386</v>
      </c>
      <c r="AL697" s="62" t="s">
        <v>50</v>
      </c>
      <c r="AM697" s="62" t="s">
        <v>51</v>
      </c>
      <c r="AN697" s="5"/>
      <c r="AO697" s="7"/>
    </row>
    <row r="698" spans="1:41" ht="15.75" customHeight="1" x14ac:dyDescent="0.25">
      <c r="A698" s="4">
        <v>697</v>
      </c>
      <c r="B698" s="5" t="s">
        <v>659</v>
      </c>
      <c r="C698" s="58">
        <v>3.5</v>
      </c>
      <c r="D698" s="61" t="s">
        <v>660</v>
      </c>
      <c r="E698" s="72" t="s">
        <v>661</v>
      </c>
      <c r="F698" s="62" t="s">
        <v>662</v>
      </c>
      <c r="G698" s="8" t="s">
        <v>43</v>
      </c>
      <c r="H698" s="8">
        <v>1996</v>
      </c>
      <c r="I698" s="62" t="s">
        <v>160</v>
      </c>
      <c r="J698" s="62" t="s">
        <v>58</v>
      </c>
      <c r="K698" s="62" t="s">
        <v>59</v>
      </c>
      <c r="L698" s="62" t="s">
        <v>74</v>
      </c>
      <c r="M698" s="62" t="s">
        <v>47</v>
      </c>
      <c r="N698" s="5">
        <v>0</v>
      </c>
      <c r="O698" s="8">
        <v>0</v>
      </c>
      <c r="P698" s="69">
        <v>42000</v>
      </c>
      <c r="Q698" s="69">
        <v>86000</v>
      </c>
      <c r="R698" s="69">
        <v>64000</v>
      </c>
      <c r="S698" s="62" t="s">
        <v>102</v>
      </c>
      <c r="T698" s="8">
        <f t="shared" si="40"/>
        <v>27</v>
      </c>
      <c r="U698" s="8">
        <v>0</v>
      </c>
      <c r="V698" s="8">
        <v>0</v>
      </c>
      <c r="W698" s="8">
        <v>0</v>
      </c>
      <c r="X698" s="8">
        <v>0</v>
      </c>
      <c r="Y698" s="8">
        <v>1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1</v>
      </c>
      <c r="AG698" s="8">
        <v>0</v>
      </c>
      <c r="AH698" s="8">
        <v>0</v>
      </c>
      <c r="AI698" s="8">
        <v>0</v>
      </c>
      <c r="AJ698" s="8">
        <v>0</v>
      </c>
      <c r="AK698" s="62" t="s">
        <v>486</v>
      </c>
      <c r="AL698" s="62" t="s">
        <v>50</v>
      </c>
      <c r="AM698" s="62" t="s">
        <v>77</v>
      </c>
      <c r="AN698" s="5"/>
      <c r="AO698" s="7"/>
    </row>
    <row r="699" spans="1:41" ht="15.75" customHeight="1" x14ac:dyDescent="0.25">
      <c r="A699" s="4">
        <v>698</v>
      </c>
      <c r="B699" s="5" t="s">
        <v>1109</v>
      </c>
      <c r="C699" s="58">
        <v>3.9</v>
      </c>
      <c r="D699" s="61" t="s">
        <v>1110</v>
      </c>
      <c r="E699" s="72" t="s">
        <v>79</v>
      </c>
      <c r="F699" s="62" t="s">
        <v>80</v>
      </c>
      <c r="G699" s="8" t="s">
        <v>88</v>
      </c>
      <c r="H699" s="8">
        <v>2010</v>
      </c>
      <c r="I699" s="62" t="s">
        <v>44</v>
      </c>
      <c r="J699" s="62" t="s">
        <v>110</v>
      </c>
      <c r="K699" s="62" t="s">
        <v>111</v>
      </c>
      <c r="L699" s="62" t="s">
        <v>180</v>
      </c>
      <c r="M699" s="62" t="s">
        <v>47</v>
      </c>
      <c r="N699" s="5">
        <v>0</v>
      </c>
      <c r="O699" s="8">
        <v>0</v>
      </c>
      <c r="P699" s="69">
        <v>32000</v>
      </c>
      <c r="Q699" s="69">
        <v>62000</v>
      </c>
      <c r="R699" s="69">
        <v>47000</v>
      </c>
      <c r="S699" s="62" t="s">
        <v>85</v>
      </c>
      <c r="T699" s="8">
        <f t="shared" si="40"/>
        <v>13</v>
      </c>
      <c r="U699" s="8">
        <v>0</v>
      </c>
      <c r="V699" s="8">
        <v>1</v>
      </c>
      <c r="W699" s="8">
        <v>0</v>
      </c>
      <c r="X699" s="8">
        <v>0</v>
      </c>
      <c r="Y699" s="8">
        <v>1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62" t="s">
        <v>132</v>
      </c>
      <c r="AL699" s="62" t="s">
        <v>169</v>
      </c>
      <c r="AM699" s="62" t="s">
        <v>77</v>
      </c>
      <c r="AN699" s="5"/>
      <c r="AO699" s="7"/>
    </row>
    <row r="700" spans="1:41" ht="15.75" customHeight="1" x14ac:dyDescent="0.25">
      <c r="A700" s="4">
        <v>699</v>
      </c>
      <c r="B700" s="5" t="s">
        <v>1111</v>
      </c>
      <c r="C700" s="58">
        <v>4</v>
      </c>
      <c r="D700" s="61" t="s">
        <v>1112</v>
      </c>
      <c r="E700" s="72" t="s">
        <v>98</v>
      </c>
      <c r="F700" s="62" t="s">
        <v>189</v>
      </c>
      <c r="G700" s="8" t="s">
        <v>56</v>
      </c>
      <c r="H700" s="8">
        <v>1982</v>
      </c>
      <c r="I700" s="62" t="s">
        <v>89</v>
      </c>
      <c r="J700" s="62" t="s">
        <v>216</v>
      </c>
      <c r="K700" s="62" t="s">
        <v>111</v>
      </c>
      <c r="L700" s="62" t="s">
        <v>194</v>
      </c>
      <c r="M700" s="62" t="s">
        <v>1113</v>
      </c>
      <c r="N700" s="5">
        <v>0</v>
      </c>
      <c r="O700" s="8">
        <v>0</v>
      </c>
      <c r="P700" s="69">
        <v>116000</v>
      </c>
      <c r="Q700" s="69">
        <v>208000</v>
      </c>
      <c r="R700" s="69">
        <v>162000</v>
      </c>
      <c r="S700" s="62" t="s">
        <v>102</v>
      </c>
      <c r="T700" s="8">
        <f t="shared" si="40"/>
        <v>41</v>
      </c>
      <c r="U700" s="8">
        <v>1</v>
      </c>
      <c r="V700" s="8">
        <v>0</v>
      </c>
      <c r="W700" s="8">
        <v>0</v>
      </c>
      <c r="X700" s="8">
        <v>1</v>
      </c>
      <c r="Y700" s="8">
        <v>1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1</v>
      </c>
      <c r="AF700" s="8">
        <v>1</v>
      </c>
      <c r="AG700" s="8">
        <v>1</v>
      </c>
      <c r="AH700" s="8">
        <v>0</v>
      </c>
      <c r="AI700" s="8">
        <v>0</v>
      </c>
      <c r="AJ700" s="8">
        <v>0</v>
      </c>
      <c r="AK700" s="62" t="s">
        <v>49</v>
      </c>
      <c r="AL700" s="62" t="s">
        <v>50</v>
      </c>
      <c r="AM700" s="62" t="s">
        <v>51</v>
      </c>
      <c r="AN700" s="5"/>
      <c r="AO700" s="7"/>
    </row>
    <row r="701" spans="1:41" ht="15.75" customHeight="1" x14ac:dyDescent="0.25">
      <c r="A701" s="4">
        <v>700</v>
      </c>
      <c r="B701" s="5" t="s">
        <v>1072</v>
      </c>
      <c r="C701" s="58">
        <v>3.9</v>
      </c>
      <c r="D701" s="61" t="s">
        <v>860</v>
      </c>
      <c r="E701" s="72" t="s">
        <v>1073</v>
      </c>
      <c r="F701" s="62" t="s">
        <v>861</v>
      </c>
      <c r="G701" s="8" t="s">
        <v>56</v>
      </c>
      <c r="H701" s="8">
        <v>1913</v>
      </c>
      <c r="I701" s="62" t="s">
        <v>89</v>
      </c>
      <c r="J701" s="62" t="s">
        <v>136</v>
      </c>
      <c r="K701" s="62" t="s">
        <v>136</v>
      </c>
      <c r="L701" s="62" t="s">
        <v>128</v>
      </c>
      <c r="M701" s="62" t="s">
        <v>862</v>
      </c>
      <c r="N701" s="5">
        <v>0</v>
      </c>
      <c r="O701" s="8">
        <v>0</v>
      </c>
      <c r="P701" s="69">
        <v>107000</v>
      </c>
      <c r="Q701" s="69">
        <v>173000</v>
      </c>
      <c r="R701" s="69">
        <v>140000</v>
      </c>
      <c r="S701" s="62" t="s">
        <v>61</v>
      </c>
      <c r="T701" s="8">
        <f t="shared" si="40"/>
        <v>110</v>
      </c>
      <c r="U701" s="8">
        <v>1</v>
      </c>
      <c r="V701" s="8">
        <v>0</v>
      </c>
      <c r="W701" s="8">
        <v>0</v>
      </c>
      <c r="X701" s="8">
        <v>1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62" t="s">
        <v>49</v>
      </c>
      <c r="AL701" s="62" t="s">
        <v>169</v>
      </c>
      <c r="AM701" s="62" t="s">
        <v>108</v>
      </c>
      <c r="AN701" s="5"/>
      <c r="AO701" s="7"/>
    </row>
    <row r="702" spans="1:41" ht="15.75" customHeight="1" x14ac:dyDescent="0.25">
      <c r="A702" s="4">
        <v>701</v>
      </c>
      <c r="B702" s="5" t="s">
        <v>39</v>
      </c>
      <c r="C702" s="58">
        <v>3.4</v>
      </c>
      <c r="D702" s="61" t="s">
        <v>1220</v>
      </c>
      <c r="E702" s="72" t="s">
        <v>1221</v>
      </c>
      <c r="F702" s="62" t="s">
        <v>1222</v>
      </c>
      <c r="G702" s="8" t="s">
        <v>81</v>
      </c>
      <c r="H702" s="8" t="s">
        <v>47</v>
      </c>
      <c r="I702" s="62" t="s">
        <v>44</v>
      </c>
      <c r="J702" s="62" t="s">
        <v>213</v>
      </c>
      <c r="K702" s="62" t="s">
        <v>111</v>
      </c>
      <c r="L702" s="62" t="s">
        <v>318</v>
      </c>
      <c r="M702" s="62" t="s">
        <v>47</v>
      </c>
      <c r="N702" s="5">
        <v>0</v>
      </c>
      <c r="O702" s="8">
        <v>0</v>
      </c>
      <c r="P702" s="69">
        <v>65000</v>
      </c>
      <c r="Q702" s="69">
        <v>113000</v>
      </c>
      <c r="R702" s="69">
        <v>89000</v>
      </c>
      <c r="S702" s="62" t="s">
        <v>76</v>
      </c>
      <c r="T702" s="8" t="s">
        <v>47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62" t="s">
        <v>49</v>
      </c>
      <c r="AL702" s="62" t="s">
        <v>50</v>
      </c>
      <c r="AM702" s="62" t="s">
        <v>77</v>
      </c>
      <c r="AN702" s="5"/>
      <c r="AO702" s="7"/>
    </row>
    <row r="703" spans="1:41" ht="15.75" customHeight="1" x14ac:dyDescent="0.25">
      <c r="A703" s="4">
        <v>702</v>
      </c>
      <c r="B703" s="5" t="s">
        <v>663</v>
      </c>
      <c r="C703" s="58">
        <v>3</v>
      </c>
      <c r="D703" s="61" t="s">
        <v>664</v>
      </c>
      <c r="E703" s="72" t="s">
        <v>665</v>
      </c>
      <c r="F703" s="62" t="s">
        <v>665</v>
      </c>
      <c r="G703" s="8" t="s">
        <v>56</v>
      </c>
      <c r="H703" s="8">
        <v>1958</v>
      </c>
      <c r="I703" s="62" t="s">
        <v>44</v>
      </c>
      <c r="J703" s="62" t="s">
        <v>666</v>
      </c>
      <c r="K703" s="62" t="s">
        <v>116</v>
      </c>
      <c r="L703" s="62" t="s">
        <v>128</v>
      </c>
      <c r="M703" s="62" t="s">
        <v>667</v>
      </c>
      <c r="N703" s="5">
        <v>0</v>
      </c>
      <c r="O703" s="8">
        <v>0</v>
      </c>
      <c r="P703" s="69">
        <v>69000</v>
      </c>
      <c r="Q703" s="69">
        <v>127000</v>
      </c>
      <c r="R703" s="69">
        <v>98000</v>
      </c>
      <c r="S703" s="62" t="s">
        <v>542</v>
      </c>
      <c r="T703" s="8">
        <f t="shared" ref="T703:T715" si="41">2023-H703</f>
        <v>65</v>
      </c>
      <c r="U703" s="8">
        <v>1</v>
      </c>
      <c r="V703" s="8">
        <v>0</v>
      </c>
      <c r="W703" s="8">
        <v>0</v>
      </c>
      <c r="X703" s="8">
        <v>0</v>
      </c>
      <c r="Y703" s="8">
        <v>1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62" t="s">
        <v>146</v>
      </c>
      <c r="AL703" s="62" t="s">
        <v>169</v>
      </c>
      <c r="AM703" s="62" t="s">
        <v>51</v>
      </c>
      <c r="AN703" s="5"/>
      <c r="AO703" s="7"/>
    </row>
    <row r="704" spans="1:41" ht="15.75" customHeight="1" x14ac:dyDescent="0.25">
      <c r="A704" s="4">
        <v>703</v>
      </c>
      <c r="B704" s="5" t="s">
        <v>859</v>
      </c>
      <c r="C704" s="58">
        <v>3.9</v>
      </c>
      <c r="D704" s="61" t="s">
        <v>860</v>
      </c>
      <c r="E704" s="72" t="s">
        <v>79</v>
      </c>
      <c r="F704" s="62" t="s">
        <v>861</v>
      </c>
      <c r="G704" s="8" t="s">
        <v>56</v>
      </c>
      <c r="H704" s="8">
        <v>1913</v>
      </c>
      <c r="I704" s="62" t="s">
        <v>89</v>
      </c>
      <c r="J704" s="62" t="s">
        <v>136</v>
      </c>
      <c r="K704" s="62" t="s">
        <v>136</v>
      </c>
      <c r="L704" s="62" t="s">
        <v>128</v>
      </c>
      <c r="M704" s="62" t="s">
        <v>862</v>
      </c>
      <c r="N704" s="5">
        <v>0</v>
      </c>
      <c r="O704" s="8">
        <v>0</v>
      </c>
      <c r="P704" s="69">
        <v>102000</v>
      </c>
      <c r="Q704" s="69">
        <v>172000</v>
      </c>
      <c r="R704" s="69">
        <v>137000</v>
      </c>
      <c r="S704" s="62" t="s">
        <v>85</v>
      </c>
      <c r="T704" s="8">
        <f t="shared" si="41"/>
        <v>110</v>
      </c>
      <c r="U704" s="8">
        <v>1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62" t="s">
        <v>49</v>
      </c>
      <c r="AL704" s="62" t="s">
        <v>169</v>
      </c>
      <c r="AM704" s="62" t="s">
        <v>108</v>
      </c>
      <c r="AN704" s="5"/>
      <c r="AO704" s="7"/>
    </row>
    <row r="705" spans="1:41" ht="15.75" customHeight="1" x14ac:dyDescent="0.25">
      <c r="A705" s="4">
        <v>704</v>
      </c>
      <c r="B705" s="5" t="s">
        <v>224</v>
      </c>
      <c r="C705" s="58">
        <v>4</v>
      </c>
      <c r="D705" s="61" t="s">
        <v>158</v>
      </c>
      <c r="E705" s="72" t="s">
        <v>159</v>
      </c>
      <c r="F705" s="62" t="s">
        <v>159</v>
      </c>
      <c r="G705" s="8" t="s">
        <v>43</v>
      </c>
      <c r="H705" s="8">
        <v>1915</v>
      </c>
      <c r="I705" s="62" t="s">
        <v>160</v>
      </c>
      <c r="J705" s="62" t="s">
        <v>161</v>
      </c>
      <c r="K705" s="62" t="s">
        <v>162</v>
      </c>
      <c r="L705" s="62" t="s">
        <v>74</v>
      </c>
      <c r="M705" s="62" t="s">
        <v>47</v>
      </c>
      <c r="N705" s="5">
        <v>0</v>
      </c>
      <c r="O705" s="8">
        <v>0</v>
      </c>
      <c r="P705" s="69">
        <v>74000</v>
      </c>
      <c r="Q705" s="69">
        <v>124000</v>
      </c>
      <c r="R705" s="69">
        <v>99000</v>
      </c>
      <c r="S705" s="62" t="s">
        <v>163</v>
      </c>
      <c r="T705" s="8">
        <f t="shared" si="41"/>
        <v>108</v>
      </c>
      <c r="U705" s="8">
        <v>1</v>
      </c>
      <c r="V705" s="8">
        <v>0</v>
      </c>
      <c r="W705" s="8">
        <v>1</v>
      </c>
      <c r="X705" s="8">
        <v>0</v>
      </c>
      <c r="Y705" s="8">
        <v>1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62" t="s">
        <v>146</v>
      </c>
      <c r="AL705" s="62" t="s">
        <v>50</v>
      </c>
      <c r="AM705" s="62" t="s">
        <v>51</v>
      </c>
      <c r="AN705" s="5"/>
      <c r="AO705" s="7"/>
    </row>
    <row r="706" spans="1:41" ht="15.75" customHeight="1" x14ac:dyDescent="0.25">
      <c r="A706" s="4">
        <v>705</v>
      </c>
      <c r="B706" s="5" t="s">
        <v>670</v>
      </c>
      <c r="C706" s="58">
        <v>3.3</v>
      </c>
      <c r="D706" s="61" t="s">
        <v>671</v>
      </c>
      <c r="E706" s="72" t="s">
        <v>401</v>
      </c>
      <c r="F706" s="62" t="s">
        <v>401</v>
      </c>
      <c r="G706" s="8" t="s">
        <v>43</v>
      </c>
      <c r="H706" s="8">
        <v>1964</v>
      </c>
      <c r="I706" s="62" t="s">
        <v>44</v>
      </c>
      <c r="J706" s="62" t="s">
        <v>657</v>
      </c>
      <c r="K706" s="62" t="s">
        <v>427</v>
      </c>
      <c r="L706" s="62" t="s">
        <v>83</v>
      </c>
      <c r="M706" s="62" t="s">
        <v>47</v>
      </c>
      <c r="N706" s="5">
        <v>0</v>
      </c>
      <c r="O706" s="8">
        <v>0</v>
      </c>
      <c r="P706" s="69">
        <v>40000</v>
      </c>
      <c r="Q706" s="69">
        <v>68000</v>
      </c>
      <c r="R706" s="69">
        <v>54000</v>
      </c>
      <c r="S706" s="62" t="s">
        <v>403</v>
      </c>
      <c r="T706" s="8">
        <f t="shared" si="41"/>
        <v>59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62" t="s">
        <v>107</v>
      </c>
      <c r="AL706" s="62" t="s">
        <v>50</v>
      </c>
      <c r="AM706" s="62" t="s">
        <v>77</v>
      </c>
      <c r="AN706" s="5"/>
      <c r="AO706" s="7"/>
    </row>
    <row r="707" spans="1:41" ht="15.75" customHeight="1" x14ac:dyDescent="0.25">
      <c r="A707" s="4">
        <v>706</v>
      </c>
      <c r="B707" s="5" t="s">
        <v>464</v>
      </c>
      <c r="C707" s="58">
        <v>3.2</v>
      </c>
      <c r="D707" s="61" t="s">
        <v>1115</v>
      </c>
      <c r="E707" s="72" t="s">
        <v>926</v>
      </c>
      <c r="F707" s="62" t="s">
        <v>324</v>
      </c>
      <c r="G707" s="8" t="s">
        <v>70</v>
      </c>
      <c r="H707" s="8">
        <v>2004</v>
      </c>
      <c r="I707" s="62" t="s">
        <v>44</v>
      </c>
      <c r="J707" s="62" t="s">
        <v>58</v>
      </c>
      <c r="K707" s="62" t="s">
        <v>59</v>
      </c>
      <c r="L707" s="62" t="s">
        <v>83</v>
      </c>
      <c r="M707" s="62" t="s">
        <v>47</v>
      </c>
      <c r="N707" s="5">
        <v>0</v>
      </c>
      <c r="O707" s="8">
        <v>0</v>
      </c>
      <c r="P707" s="69">
        <v>76000</v>
      </c>
      <c r="Q707" s="69">
        <v>142000</v>
      </c>
      <c r="R707" s="69">
        <v>109000</v>
      </c>
      <c r="S707" s="62" t="s">
        <v>542</v>
      </c>
      <c r="T707" s="8">
        <f t="shared" si="41"/>
        <v>19</v>
      </c>
      <c r="U707" s="8">
        <v>0</v>
      </c>
      <c r="V707" s="8">
        <v>0</v>
      </c>
      <c r="W707" s="8">
        <v>1</v>
      </c>
      <c r="X707" s="8">
        <v>1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1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62" t="s">
        <v>146</v>
      </c>
      <c r="AL707" s="62" t="s">
        <v>169</v>
      </c>
      <c r="AM707" s="62" t="s">
        <v>77</v>
      </c>
      <c r="AN707" s="5"/>
      <c r="AO707" s="7"/>
    </row>
    <row r="708" spans="1:41" ht="15.75" customHeight="1" x14ac:dyDescent="0.25">
      <c r="A708" s="4">
        <v>707</v>
      </c>
      <c r="B708" s="5" t="s">
        <v>224</v>
      </c>
      <c r="C708" s="58">
        <v>3.4</v>
      </c>
      <c r="D708" s="61" t="s">
        <v>865</v>
      </c>
      <c r="E708" s="72" t="s">
        <v>454</v>
      </c>
      <c r="F708" s="62" t="s">
        <v>339</v>
      </c>
      <c r="G708" s="8" t="s">
        <v>88</v>
      </c>
      <c r="H708" s="8">
        <v>1999</v>
      </c>
      <c r="I708" s="62" t="s">
        <v>44</v>
      </c>
      <c r="J708" s="62" t="s">
        <v>213</v>
      </c>
      <c r="K708" s="62" t="s">
        <v>111</v>
      </c>
      <c r="L708" s="62" t="s">
        <v>101</v>
      </c>
      <c r="M708" s="62" t="s">
        <v>47</v>
      </c>
      <c r="N708" s="5">
        <v>0</v>
      </c>
      <c r="O708" s="8">
        <v>0</v>
      </c>
      <c r="P708" s="69">
        <v>76000</v>
      </c>
      <c r="Q708" s="69">
        <v>142000</v>
      </c>
      <c r="R708" s="69">
        <v>109000</v>
      </c>
      <c r="S708" s="62" t="s">
        <v>61</v>
      </c>
      <c r="T708" s="8">
        <f t="shared" si="41"/>
        <v>24</v>
      </c>
      <c r="U708" s="8">
        <v>0</v>
      </c>
      <c r="V708" s="8">
        <v>0</v>
      </c>
      <c r="W708" s="8">
        <v>1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62" t="s">
        <v>146</v>
      </c>
      <c r="AL708" s="62" t="s">
        <v>50</v>
      </c>
      <c r="AM708" s="62" t="s">
        <v>51</v>
      </c>
      <c r="AN708" s="5"/>
      <c r="AO708" s="7"/>
    </row>
    <row r="709" spans="1:41" ht="15.75" customHeight="1" x14ac:dyDescent="0.25">
      <c r="A709" s="4">
        <v>708</v>
      </c>
      <c r="B709" s="5" t="s">
        <v>220</v>
      </c>
      <c r="C709" s="58">
        <v>4.4000000000000004</v>
      </c>
      <c r="D709" s="61" t="s">
        <v>863</v>
      </c>
      <c r="E709" s="72" t="s">
        <v>864</v>
      </c>
      <c r="F709" s="62" t="s">
        <v>864</v>
      </c>
      <c r="G709" s="8" t="s">
        <v>70</v>
      </c>
      <c r="H709" s="8">
        <v>1984</v>
      </c>
      <c r="I709" s="62" t="s">
        <v>44</v>
      </c>
      <c r="J709" s="62" t="s">
        <v>216</v>
      </c>
      <c r="K709" s="62" t="s">
        <v>111</v>
      </c>
      <c r="L709" s="62" t="s">
        <v>91</v>
      </c>
      <c r="M709" s="62" t="s">
        <v>47</v>
      </c>
      <c r="N709" s="5">
        <v>0</v>
      </c>
      <c r="O709" s="8">
        <v>0</v>
      </c>
      <c r="P709" s="69">
        <v>108000</v>
      </c>
      <c r="Q709" s="69">
        <v>171000</v>
      </c>
      <c r="R709" s="69">
        <v>139500</v>
      </c>
      <c r="S709" s="62" t="s">
        <v>138</v>
      </c>
      <c r="T709" s="8">
        <f t="shared" si="41"/>
        <v>39</v>
      </c>
      <c r="U709" s="8">
        <v>1</v>
      </c>
      <c r="V709" s="8">
        <v>0</v>
      </c>
      <c r="W709" s="8">
        <v>0</v>
      </c>
      <c r="X709" s="8">
        <v>0</v>
      </c>
      <c r="Y709" s="8">
        <v>1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1</v>
      </c>
      <c r="AG709" s="8">
        <v>1</v>
      </c>
      <c r="AH709" s="8">
        <v>0</v>
      </c>
      <c r="AI709" s="8">
        <v>0</v>
      </c>
      <c r="AJ709" s="8">
        <v>0</v>
      </c>
      <c r="AK709" s="62" t="s">
        <v>49</v>
      </c>
      <c r="AL709" s="62" t="s">
        <v>169</v>
      </c>
      <c r="AM709" s="62" t="s">
        <v>51</v>
      </c>
      <c r="AN709" s="5"/>
      <c r="AO709" s="7"/>
    </row>
    <row r="710" spans="1:41" ht="15.75" customHeight="1" x14ac:dyDescent="0.25">
      <c r="A710" s="4">
        <v>709</v>
      </c>
      <c r="B710" s="5" t="s">
        <v>866</v>
      </c>
      <c r="C710" s="58">
        <v>3.3</v>
      </c>
      <c r="D710" s="61" t="s">
        <v>268</v>
      </c>
      <c r="E710" s="72" t="s">
        <v>172</v>
      </c>
      <c r="F710" s="62" t="s">
        <v>269</v>
      </c>
      <c r="G710" s="8" t="s">
        <v>56</v>
      </c>
      <c r="H710" s="8">
        <v>1912</v>
      </c>
      <c r="I710" s="62" t="s">
        <v>44</v>
      </c>
      <c r="J710" s="62" t="s">
        <v>161</v>
      </c>
      <c r="K710" s="62" t="s">
        <v>162</v>
      </c>
      <c r="L710" s="62" t="s">
        <v>128</v>
      </c>
      <c r="M710" s="62" t="s">
        <v>270</v>
      </c>
      <c r="N710" s="5">
        <v>0</v>
      </c>
      <c r="O710" s="8">
        <v>0</v>
      </c>
      <c r="P710" s="69">
        <v>202000</v>
      </c>
      <c r="Q710" s="69">
        <v>306000</v>
      </c>
      <c r="R710" s="69">
        <v>254000</v>
      </c>
      <c r="S710" s="62" t="s">
        <v>176</v>
      </c>
      <c r="T710" s="8">
        <f t="shared" si="41"/>
        <v>111</v>
      </c>
      <c r="U710" s="8">
        <v>1</v>
      </c>
      <c r="V710" s="8">
        <v>0</v>
      </c>
      <c r="W710" s="8">
        <v>0</v>
      </c>
      <c r="X710" s="8">
        <v>0</v>
      </c>
      <c r="Y710" s="8">
        <v>0</v>
      </c>
      <c r="Z710" s="8">
        <v>1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62" t="s">
        <v>49</v>
      </c>
      <c r="AL710" s="62" t="s">
        <v>50</v>
      </c>
      <c r="AM710" s="62" t="s">
        <v>51</v>
      </c>
      <c r="AN710" s="5"/>
      <c r="AO710" s="7"/>
    </row>
    <row r="711" spans="1:41" ht="15.75" customHeight="1" x14ac:dyDescent="0.25">
      <c r="A711" s="4">
        <v>710</v>
      </c>
      <c r="B711" s="5" t="s">
        <v>505</v>
      </c>
      <c r="C711" s="58">
        <v>3.2</v>
      </c>
      <c r="D711" s="61" t="s">
        <v>1116</v>
      </c>
      <c r="E711" s="72" t="s">
        <v>79</v>
      </c>
      <c r="F711" s="62" t="s">
        <v>80</v>
      </c>
      <c r="G711" s="8" t="s">
        <v>70</v>
      </c>
      <c r="H711" s="8">
        <v>1975</v>
      </c>
      <c r="I711" s="62" t="s">
        <v>44</v>
      </c>
      <c r="J711" s="62" t="s">
        <v>216</v>
      </c>
      <c r="K711" s="62" t="s">
        <v>111</v>
      </c>
      <c r="L711" s="62" t="s">
        <v>83</v>
      </c>
      <c r="M711" s="62" t="s">
        <v>1117</v>
      </c>
      <c r="N711" s="5">
        <v>0</v>
      </c>
      <c r="O711" s="8">
        <v>0</v>
      </c>
      <c r="P711" s="69">
        <v>91000</v>
      </c>
      <c r="Q711" s="69">
        <v>159000</v>
      </c>
      <c r="R711" s="69">
        <v>125000</v>
      </c>
      <c r="S711" s="62" t="s">
        <v>85</v>
      </c>
      <c r="T711" s="8">
        <f t="shared" si="41"/>
        <v>48</v>
      </c>
      <c r="U711" s="8">
        <v>1</v>
      </c>
      <c r="V711" s="8">
        <v>0</v>
      </c>
      <c r="W711" s="8">
        <v>1</v>
      </c>
      <c r="X711" s="8">
        <v>1</v>
      </c>
      <c r="Y711" s="8">
        <v>1</v>
      </c>
      <c r="Z711" s="8">
        <v>0</v>
      </c>
      <c r="AA711" s="8">
        <v>0</v>
      </c>
      <c r="AB711" s="8">
        <v>1</v>
      </c>
      <c r="AC711" s="8">
        <v>0</v>
      </c>
      <c r="AD711" s="8">
        <v>1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62" t="s">
        <v>508</v>
      </c>
      <c r="AL711" s="62" t="s">
        <v>50</v>
      </c>
      <c r="AM711" s="62" t="s">
        <v>51</v>
      </c>
      <c r="AN711" s="5"/>
      <c r="AO711" s="7"/>
    </row>
    <row r="712" spans="1:41" ht="15.75" customHeight="1" x14ac:dyDescent="0.25">
      <c r="A712" s="4">
        <v>711</v>
      </c>
      <c r="B712" s="5" t="s">
        <v>1118</v>
      </c>
      <c r="C712" s="58">
        <v>3.8</v>
      </c>
      <c r="D712" s="61" t="s">
        <v>202</v>
      </c>
      <c r="E712" s="72" t="s">
        <v>134</v>
      </c>
      <c r="F712" s="62" t="s">
        <v>203</v>
      </c>
      <c r="G712" s="8" t="s">
        <v>56</v>
      </c>
      <c r="H712" s="8">
        <v>1996</v>
      </c>
      <c r="I712" s="62" t="s">
        <v>89</v>
      </c>
      <c r="J712" s="62" t="s">
        <v>136</v>
      </c>
      <c r="K712" s="62" t="s">
        <v>136</v>
      </c>
      <c r="L712" s="62" t="s">
        <v>128</v>
      </c>
      <c r="M712" s="62" t="s">
        <v>47</v>
      </c>
      <c r="N712" s="5">
        <v>0</v>
      </c>
      <c r="O712" s="8">
        <v>0</v>
      </c>
      <c r="P712" s="69">
        <v>80000</v>
      </c>
      <c r="Q712" s="69">
        <v>133000</v>
      </c>
      <c r="R712" s="69">
        <v>106500</v>
      </c>
      <c r="S712" s="62" t="s">
        <v>138</v>
      </c>
      <c r="T712" s="8">
        <f t="shared" si="41"/>
        <v>27</v>
      </c>
      <c r="U712" s="8">
        <v>1</v>
      </c>
      <c r="V712" s="8">
        <v>0</v>
      </c>
      <c r="W712" s="8">
        <v>0</v>
      </c>
      <c r="X712" s="8">
        <v>0</v>
      </c>
      <c r="Y712" s="8">
        <v>1</v>
      </c>
      <c r="Z712" s="8">
        <v>1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1</v>
      </c>
      <c r="AG712" s="8">
        <v>1</v>
      </c>
      <c r="AH712" s="8">
        <v>0</v>
      </c>
      <c r="AI712" s="8">
        <v>0</v>
      </c>
      <c r="AJ712" s="8">
        <v>0</v>
      </c>
      <c r="AK712" s="62" t="s">
        <v>49</v>
      </c>
      <c r="AL712" s="62" t="s">
        <v>169</v>
      </c>
      <c r="AM712" s="62" t="s">
        <v>51</v>
      </c>
      <c r="AN712" s="5"/>
      <c r="AO712" s="7"/>
    </row>
    <row r="713" spans="1:41" ht="15.75" customHeight="1" x14ac:dyDescent="0.25">
      <c r="A713" s="4">
        <v>712</v>
      </c>
      <c r="B713" s="5" t="s">
        <v>668</v>
      </c>
      <c r="C713" s="58">
        <v>3.6</v>
      </c>
      <c r="D713" s="61" t="s">
        <v>599</v>
      </c>
      <c r="E713" s="72" t="s">
        <v>669</v>
      </c>
      <c r="F713" s="62" t="s">
        <v>600</v>
      </c>
      <c r="G713" s="8" t="s">
        <v>70</v>
      </c>
      <c r="H713" s="8">
        <v>1935</v>
      </c>
      <c r="I713" s="62" t="s">
        <v>160</v>
      </c>
      <c r="J713" s="62" t="s">
        <v>58</v>
      </c>
      <c r="K713" s="62" t="s">
        <v>59</v>
      </c>
      <c r="L713" s="62" t="s">
        <v>66</v>
      </c>
      <c r="M713" s="62" t="s">
        <v>47</v>
      </c>
      <c r="N713" s="5">
        <v>1</v>
      </c>
      <c r="O713" s="8">
        <v>0</v>
      </c>
      <c r="P713" s="69">
        <v>43000</v>
      </c>
      <c r="Q713" s="69">
        <v>70000</v>
      </c>
      <c r="R713" s="69">
        <v>56500</v>
      </c>
      <c r="S713" s="62" t="s">
        <v>601</v>
      </c>
      <c r="T713" s="8">
        <f t="shared" si="41"/>
        <v>88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62" t="s">
        <v>107</v>
      </c>
      <c r="AL713" s="62" t="s">
        <v>50</v>
      </c>
      <c r="AM713" s="62" t="s">
        <v>77</v>
      </c>
      <c r="AN713" s="5"/>
      <c r="AO713" s="7"/>
    </row>
    <row r="714" spans="1:41" ht="15.75" customHeight="1" x14ac:dyDescent="0.25">
      <c r="A714" s="4">
        <v>713</v>
      </c>
      <c r="B714" s="5" t="s">
        <v>867</v>
      </c>
      <c r="C714" s="58">
        <v>2.9</v>
      </c>
      <c r="D714" s="61" t="s">
        <v>868</v>
      </c>
      <c r="E714" s="72" t="s">
        <v>554</v>
      </c>
      <c r="F714" s="62" t="s">
        <v>114</v>
      </c>
      <c r="G714" s="8" t="s">
        <v>88</v>
      </c>
      <c r="H714" s="8">
        <v>2012</v>
      </c>
      <c r="I714" s="62" t="s">
        <v>142</v>
      </c>
      <c r="J714" s="62" t="s">
        <v>136</v>
      </c>
      <c r="K714" s="62" t="s">
        <v>136</v>
      </c>
      <c r="L714" s="62" t="s">
        <v>83</v>
      </c>
      <c r="M714" s="62" t="s">
        <v>869</v>
      </c>
      <c r="N714" s="5">
        <v>0</v>
      </c>
      <c r="O714" s="8">
        <v>0</v>
      </c>
      <c r="P714" s="69">
        <v>49000</v>
      </c>
      <c r="Q714" s="69">
        <v>97000</v>
      </c>
      <c r="R714" s="69">
        <v>73000</v>
      </c>
      <c r="S714" s="62" t="s">
        <v>102</v>
      </c>
      <c r="T714" s="8">
        <f t="shared" si="41"/>
        <v>11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62" t="s">
        <v>107</v>
      </c>
      <c r="AL714" s="62" t="s">
        <v>50</v>
      </c>
      <c r="AM714" s="62" t="s">
        <v>108</v>
      </c>
      <c r="AN714" s="5"/>
      <c r="AO714" s="7"/>
    </row>
    <row r="715" spans="1:41" ht="15.75" customHeight="1" x14ac:dyDescent="0.25">
      <c r="A715" s="4">
        <v>714</v>
      </c>
      <c r="B715" s="5" t="s">
        <v>672</v>
      </c>
      <c r="C715" s="58">
        <v>2.7</v>
      </c>
      <c r="D715" s="61" t="s">
        <v>673</v>
      </c>
      <c r="E715" s="72" t="s">
        <v>454</v>
      </c>
      <c r="F715" s="62" t="s">
        <v>454</v>
      </c>
      <c r="G715" s="8" t="s">
        <v>88</v>
      </c>
      <c r="H715" s="8">
        <v>1961</v>
      </c>
      <c r="I715" s="62" t="s">
        <v>44</v>
      </c>
      <c r="J715" s="62" t="s">
        <v>136</v>
      </c>
      <c r="K715" s="62" t="s">
        <v>136</v>
      </c>
      <c r="L715" s="62" t="s">
        <v>101</v>
      </c>
      <c r="M715" s="62" t="s">
        <v>47</v>
      </c>
      <c r="N715" s="5">
        <v>0</v>
      </c>
      <c r="O715" s="8">
        <v>0</v>
      </c>
      <c r="P715" s="69">
        <v>49000</v>
      </c>
      <c r="Q715" s="69">
        <v>113000</v>
      </c>
      <c r="R715" s="69">
        <v>81000</v>
      </c>
      <c r="S715" s="62" t="s">
        <v>61</v>
      </c>
      <c r="T715" s="8">
        <f t="shared" si="41"/>
        <v>62</v>
      </c>
      <c r="U715" s="8">
        <v>0</v>
      </c>
      <c r="V715" s="8">
        <v>0</v>
      </c>
      <c r="W715" s="8">
        <v>0</v>
      </c>
      <c r="X715" s="8">
        <v>1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62" t="s">
        <v>107</v>
      </c>
      <c r="AL715" s="62" t="s">
        <v>50</v>
      </c>
      <c r="AM715" s="62" t="s">
        <v>108</v>
      </c>
      <c r="AN715" s="5"/>
      <c r="AO715" s="7"/>
    </row>
    <row r="716" spans="1:41" ht="15.75" customHeight="1" x14ac:dyDescent="0.25">
      <c r="A716" s="4">
        <v>715</v>
      </c>
      <c r="B716" s="5" t="s">
        <v>39</v>
      </c>
      <c r="C716" s="58">
        <v>3.2</v>
      </c>
      <c r="D716" s="61" t="s">
        <v>314</v>
      </c>
      <c r="E716" s="72" t="s">
        <v>315</v>
      </c>
      <c r="F716" s="62" t="s">
        <v>316</v>
      </c>
      <c r="G716" s="8">
        <v>500</v>
      </c>
      <c r="H716" s="8" t="s">
        <v>47</v>
      </c>
      <c r="I716" s="62" t="s">
        <v>44</v>
      </c>
      <c r="J716" s="62" t="s">
        <v>317</v>
      </c>
      <c r="K716" s="62" t="s">
        <v>65</v>
      </c>
      <c r="L716" s="62" t="s">
        <v>318</v>
      </c>
      <c r="M716" s="62" t="s">
        <v>47</v>
      </c>
      <c r="N716" s="5">
        <v>0</v>
      </c>
      <c r="O716" s="8">
        <v>0</v>
      </c>
      <c r="P716" s="69">
        <v>96000</v>
      </c>
      <c r="Q716" s="69">
        <v>161000</v>
      </c>
      <c r="R716" s="69">
        <v>128500</v>
      </c>
      <c r="S716" s="62" t="s">
        <v>305</v>
      </c>
      <c r="T716" s="8" t="s">
        <v>47</v>
      </c>
      <c r="U716" s="8">
        <v>1</v>
      </c>
      <c r="V716" s="8">
        <v>1</v>
      </c>
      <c r="W716" s="8">
        <v>1</v>
      </c>
      <c r="X716" s="8">
        <v>0</v>
      </c>
      <c r="Y716" s="8">
        <v>1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1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62" t="s">
        <v>49</v>
      </c>
      <c r="AL716" s="62" t="s">
        <v>50</v>
      </c>
      <c r="AM716" s="62" t="s">
        <v>77</v>
      </c>
      <c r="AN716" s="5"/>
      <c r="AO716" s="7"/>
    </row>
    <row r="717" spans="1:41" ht="15.75" customHeight="1" x14ac:dyDescent="0.25">
      <c r="A717" s="4">
        <v>716</v>
      </c>
      <c r="B717" s="5" t="s">
        <v>870</v>
      </c>
      <c r="C717" s="58">
        <v>3.1</v>
      </c>
      <c r="D717" s="61" t="s">
        <v>833</v>
      </c>
      <c r="E717" s="72" t="s">
        <v>871</v>
      </c>
      <c r="F717" s="62" t="s">
        <v>835</v>
      </c>
      <c r="G717" s="8" t="s">
        <v>120</v>
      </c>
      <c r="H717" s="8">
        <v>1875</v>
      </c>
      <c r="I717" s="62" t="s">
        <v>44</v>
      </c>
      <c r="J717" s="62" t="s">
        <v>499</v>
      </c>
      <c r="K717" s="62" t="s">
        <v>427</v>
      </c>
      <c r="L717" s="62" t="s">
        <v>128</v>
      </c>
      <c r="M717" s="62" t="s">
        <v>47</v>
      </c>
      <c r="N717" s="5">
        <v>0</v>
      </c>
      <c r="O717" s="8">
        <v>0</v>
      </c>
      <c r="P717" s="69">
        <v>65000</v>
      </c>
      <c r="Q717" s="69">
        <v>134000</v>
      </c>
      <c r="R717" s="69">
        <v>99500</v>
      </c>
      <c r="S717" s="62" t="s">
        <v>423</v>
      </c>
      <c r="T717" s="8">
        <f t="shared" ref="T717:T731" si="42">2023-H717</f>
        <v>148</v>
      </c>
      <c r="U717" s="8">
        <v>0</v>
      </c>
      <c r="V717" s="8">
        <v>0</v>
      </c>
      <c r="W717" s="8">
        <v>0</v>
      </c>
      <c r="X717" s="8">
        <v>1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62" t="s">
        <v>107</v>
      </c>
      <c r="AL717" s="62" t="s">
        <v>50</v>
      </c>
      <c r="AM717" s="62" t="s">
        <v>77</v>
      </c>
      <c r="AN717" s="5"/>
      <c r="AO717" s="7"/>
    </row>
    <row r="718" spans="1:41" ht="15.75" customHeight="1" x14ac:dyDescent="0.25">
      <c r="A718" s="4">
        <v>717</v>
      </c>
      <c r="B718" s="5" t="s">
        <v>1223</v>
      </c>
      <c r="C718" s="58">
        <v>4</v>
      </c>
      <c r="D718" s="61" t="s">
        <v>1224</v>
      </c>
      <c r="E718" s="72" t="s">
        <v>554</v>
      </c>
      <c r="F718" s="62" t="s">
        <v>205</v>
      </c>
      <c r="G718" s="8" t="s">
        <v>43</v>
      </c>
      <c r="H718" s="8">
        <v>2006</v>
      </c>
      <c r="I718" s="62" t="s">
        <v>44</v>
      </c>
      <c r="J718" s="62" t="s">
        <v>136</v>
      </c>
      <c r="K718" s="62" t="s">
        <v>136</v>
      </c>
      <c r="L718" s="62" t="s">
        <v>83</v>
      </c>
      <c r="M718" s="62" t="s">
        <v>1225</v>
      </c>
      <c r="N718" s="5">
        <v>0</v>
      </c>
      <c r="O718" s="8">
        <v>0</v>
      </c>
      <c r="P718" s="69">
        <v>59000</v>
      </c>
      <c r="Q718" s="69">
        <v>125000</v>
      </c>
      <c r="R718" s="69">
        <v>92000</v>
      </c>
      <c r="S718" s="62" t="s">
        <v>102</v>
      </c>
      <c r="T718" s="8">
        <f t="shared" si="42"/>
        <v>17</v>
      </c>
      <c r="U718" s="8">
        <v>0</v>
      </c>
      <c r="V718" s="8">
        <v>0</v>
      </c>
      <c r="W718" s="8">
        <v>1</v>
      </c>
      <c r="X718" s="8">
        <v>1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62" t="s">
        <v>107</v>
      </c>
      <c r="AL718" s="62" t="s">
        <v>169</v>
      </c>
      <c r="AM718" s="62" t="s">
        <v>51</v>
      </c>
      <c r="AN718" s="5"/>
      <c r="AO718" s="7"/>
    </row>
    <row r="719" spans="1:41" ht="15.75" customHeight="1" x14ac:dyDescent="0.25">
      <c r="A719" s="4">
        <v>718</v>
      </c>
      <c r="B719" s="5" t="s">
        <v>872</v>
      </c>
      <c r="C719" s="58">
        <v>3.3</v>
      </c>
      <c r="D719" s="61" t="s">
        <v>873</v>
      </c>
      <c r="E719" s="72" t="s">
        <v>874</v>
      </c>
      <c r="F719" s="62" t="s">
        <v>874</v>
      </c>
      <c r="G719" s="8" t="s">
        <v>43</v>
      </c>
      <c r="H719" s="8">
        <v>1989</v>
      </c>
      <c r="I719" s="62" t="s">
        <v>44</v>
      </c>
      <c r="J719" s="62" t="s">
        <v>161</v>
      </c>
      <c r="K719" s="62" t="s">
        <v>162</v>
      </c>
      <c r="L719" s="62" t="s">
        <v>74</v>
      </c>
      <c r="M719" s="62" t="s">
        <v>47</v>
      </c>
      <c r="N719" s="5">
        <v>0</v>
      </c>
      <c r="O719" s="8">
        <v>0</v>
      </c>
      <c r="P719" s="69">
        <v>32000</v>
      </c>
      <c r="Q719" s="69">
        <v>59000</v>
      </c>
      <c r="R719" s="69">
        <v>45500</v>
      </c>
      <c r="S719" s="62" t="s">
        <v>258</v>
      </c>
      <c r="T719" s="8">
        <f t="shared" si="42"/>
        <v>34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62" t="s">
        <v>132</v>
      </c>
      <c r="AL719" s="62" t="s">
        <v>50</v>
      </c>
      <c r="AM719" s="62" t="s">
        <v>77</v>
      </c>
      <c r="AN719" s="5"/>
      <c r="AO719" s="7"/>
    </row>
    <row r="720" spans="1:41" ht="15.75" customHeight="1" x14ac:dyDescent="0.25">
      <c r="A720" s="4">
        <v>719</v>
      </c>
      <c r="B720" s="5" t="s">
        <v>674</v>
      </c>
      <c r="C720" s="58">
        <v>4.5</v>
      </c>
      <c r="D720" s="61" t="s">
        <v>875</v>
      </c>
      <c r="E720" s="72" t="s">
        <v>324</v>
      </c>
      <c r="F720" s="62" t="s">
        <v>324</v>
      </c>
      <c r="G720" s="8" t="s">
        <v>81</v>
      </c>
      <c r="H720" s="8">
        <v>1996</v>
      </c>
      <c r="I720" s="62" t="s">
        <v>44</v>
      </c>
      <c r="J720" s="62" t="s">
        <v>100</v>
      </c>
      <c r="K720" s="62" t="s">
        <v>65</v>
      </c>
      <c r="L720" s="62" t="s">
        <v>101</v>
      </c>
      <c r="M720" s="62" t="s">
        <v>47</v>
      </c>
      <c r="N720" s="5">
        <v>0</v>
      </c>
      <c r="O720" s="8">
        <v>0</v>
      </c>
      <c r="P720" s="69">
        <v>87000</v>
      </c>
      <c r="Q720" s="69">
        <v>158000</v>
      </c>
      <c r="R720" s="69">
        <v>122500</v>
      </c>
      <c r="S720" s="62" t="s">
        <v>326</v>
      </c>
      <c r="T720" s="8">
        <f t="shared" si="42"/>
        <v>27</v>
      </c>
      <c r="U720" s="8">
        <v>1</v>
      </c>
      <c r="V720" s="8">
        <v>1</v>
      </c>
      <c r="W720" s="8">
        <v>1</v>
      </c>
      <c r="X720" s="8">
        <v>0</v>
      </c>
      <c r="Y720" s="8">
        <v>1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1</v>
      </c>
      <c r="AF720" s="8">
        <v>0</v>
      </c>
      <c r="AG720" s="8">
        <v>0</v>
      </c>
      <c r="AH720" s="8">
        <v>0</v>
      </c>
      <c r="AI720" s="8">
        <v>1</v>
      </c>
      <c r="AJ720" s="8">
        <v>0</v>
      </c>
      <c r="AK720" s="62" t="s">
        <v>146</v>
      </c>
      <c r="AL720" s="62" t="s">
        <v>169</v>
      </c>
      <c r="AM720" s="62" t="s">
        <v>77</v>
      </c>
      <c r="AN720" s="5"/>
      <c r="AO720" s="7"/>
    </row>
    <row r="721" spans="1:41" ht="15.75" customHeight="1" x14ac:dyDescent="0.25">
      <c r="A721" s="4">
        <v>720</v>
      </c>
      <c r="B721" s="5" t="s">
        <v>805</v>
      </c>
      <c r="C721" s="58">
        <v>3</v>
      </c>
      <c r="D721" s="61" t="s">
        <v>1120</v>
      </c>
      <c r="E721" s="72" t="s">
        <v>514</v>
      </c>
      <c r="F721" s="62" t="s">
        <v>514</v>
      </c>
      <c r="G721" s="8" t="s">
        <v>70</v>
      </c>
      <c r="H721" s="8">
        <v>1977</v>
      </c>
      <c r="I721" s="62" t="s">
        <v>142</v>
      </c>
      <c r="J721" s="62" t="s">
        <v>155</v>
      </c>
      <c r="K721" s="62" t="s">
        <v>111</v>
      </c>
      <c r="L721" s="62" t="s">
        <v>66</v>
      </c>
      <c r="M721" s="62" t="s">
        <v>1121</v>
      </c>
      <c r="N721" s="5">
        <v>0</v>
      </c>
      <c r="O721" s="8">
        <v>0</v>
      </c>
      <c r="P721" s="69">
        <v>27000</v>
      </c>
      <c r="Q721" s="69">
        <v>48000</v>
      </c>
      <c r="R721" s="69">
        <v>37500</v>
      </c>
      <c r="S721" s="62" t="s">
        <v>67</v>
      </c>
      <c r="T721" s="8">
        <f t="shared" si="42"/>
        <v>46</v>
      </c>
      <c r="U721" s="8">
        <v>0</v>
      </c>
      <c r="V721" s="8">
        <v>0</v>
      </c>
      <c r="W721" s="8">
        <v>0</v>
      </c>
      <c r="X721" s="8">
        <v>1</v>
      </c>
      <c r="Y721" s="8">
        <v>1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62" t="s">
        <v>132</v>
      </c>
      <c r="AL721" s="62" t="s">
        <v>50</v>
      </c>
      <c r="AM721" s="62" t="s">
        <v>51</v>
      </c>
      <c r="AN721" s="5"/>
      <c r="AO721" s="7"/>
    </row>
    <row r="722" spans="1:41" ht="15.75" customHeight="1" x14ac:dyDescent="0.25">
      <c r="A722" s="4">
        <v>721</v>
      </c>
      <c r="B722" s="5" t="s">
        <v>1119</v>
      </c>
      <c r="C722" s="58">
        <v>3.7</v>
      </c>
      <c r="D722" s="61" t="s">
        <v>192</v>
      </c>
      <c r="E722" s="72" t="s">
        <v>193</v>
      </c>
      <c r="F722" s="62" t="s">
        <v>193</v>
      </c>
      <c r="G722" s="8" t="s">
        <v>120</v>
      </c>
      <c r="H722" s="8">
        <v>1852</v>
      </c>
      <c r="I722" s="62" t="s">
        <v>89</v>
      </c>
      <c r="J722" s="62" t="s">
        <v>161</v>
      </c>
      <c r="K722" s="62" t="s">
        <v>162</v>
      </c>
      <c r="L722" s="62" t="s">
        <v>194</v>
      </c>
      <c r="M722" s="62" t="s">
        <v>47</v>
      </c>
      <c r="N722" s="5">
        <v>0</v>
      </c>
      <c r="O722" s="8">
        <v>0</v>
      </c>
      <c r="P722" s="69">
        <v>39000</v>
      </c>
      <c r="Q722" s="69">
        <v>69000</v>
      </c>
      <c r="R722" s="69">
        <v>54000</v>
      </c>
      <c r="S722" s="62" t="s">
        <v>138</v>
      </c>
      <c r="T722" s="8">
        <f t="shared" si="42"/>
        <v>171</v>
      </c>
      <c r="U722" s="8">
        <v>0</v>
      </c>
      <c r="V722" s="8">
        <v>0</v>
      </c>
      <c r="W722" s="8">
        <v>0</v>
      </c>
      <c r="X722" s="8">
        <v>0</v>
      </c>
      <c r="Y722" s="8">
        <v>1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62" t="s">
        <v>132</v>
      </c>
      <c r="AL722" s="62" t="s">
        <v>50</v>
      </c>
      <c r="AM722" s="62" t="s">
        <v>77</v>
      </c>
      <c r="AN722" s="5"/>
      <c r="AO722" s="7"/>
    </row>
    <row r="723" spans="1:41" ht="15.75" customHeight="1" x14ac:dyDescent="0.25">
      <c r="A723" s="4">
        <v>722</v>
      </c>
      <c r="B723" s="5" t="s">
        <v>1122</v>
      </c>
      <c r="C723" s="58">
        <v>3.8</v>
      </c>
      <c r="D723" s="61" t="s">
        <v>685</v>
      </c>
      <c r="E723" s="72" t="s">
        <v>79</v>
      </c>
      <c r="F723" s="62" t="s">
        <v>80</v>
      </c>
      <c r="G723" s="8" t="s">
        <v>70</v>
      </c>
      <c r="H723" s="8">
        <v>2002</v>
      </c>
      <c r="I723" s="62" t="s">
        <v>44</v>
      </c>
      <c r="J723" s="62" t="s">
        <v>517</v>
      </c>
      <c r="K723" s="62" t="s">
        <v>518</v>
      </c>
      <c r="L723" s="62" t="s">
        <v>60</v>
      </c>
      <c r="M723" s="62" t="s">
        <v>686</v>
      </c>
      <c r="N723" s="5">
        <v>0</v>
      </c>
      <c r="O723" s="8">
        <v>0</v>
      </c>
      <c r="P723" s="69">
        <v>36000</v>
      </c>
      <c r="Q723" s="69">
        <v>71000</v>
      </c>
      <c r="R723" s="69">
        <v>53500</v>
      </c>
      <c r="S723" s="62" t="s">
        <v>85</v>
      </c>
      <c r="T723" s="8">
        <f t="shared" si="42"/>
        <v>21</v>
      </c>
      <c r="U723" s="8">
        <v>1</v>
      </c>
      <c r="V723" s="8">
        <v>0</v>
      </c>
      <c r="W723" s="8">
        <v>0</v>
      </c>
      <c r="X723" s="8">
        <v>1</v>
      </c>
      <c r="Y723" s="8">
        <v>1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1</v>
      </c>
      <c r="AH723" s="8">
        <v>0</v>
      </c>
      <c r="AI723" s="8">
        <v>0</v>
      </c>
      <c r="AJ723" s="8">
        <v>1</v>
      </c>
      <c r="AK723" s="62" t="s">
        <v>132</v>
      </c>
      <c r="AL723" s="62" t="s">
        <v>50</v>
      </c>
      <c r="AM723" s="62" t="s">
        <v>51</v>
      </c>
      <c r="AN723" s="5"/>
      <c r="AO723" s="7"/>
    </row>
    <row r="724" spans="1:41" ht="15.75" customHeight="1" x14ac:dyDescent="0.25">
      <c r="A724" s="4">
        <v>723</v>
      </c>
      <c r="B724" s="5" t="s">
        <v>876</v>
      </c>
      <c r="C724" s="58">
        <v>3.9</v>
      </c>
      <c r="D724" s="61" t="s">
        <v>380</v>
      </c>
      <c r="E724" s="72" t="s">
        <v>172</v>
      </c>
      <c r="F724" s="62" t="s">
        <v>172</v>
      </c>
      <c r="G724" s="8" t="s">
        <v>120</v>
      </c>
      <c r="H724" s="8">
        <v>1968</v>
      </c>
      <c r="I724" s="62" t="s">
        <v>89</v>
      </c>
      <c r="J724" s="62" t="s">
        <v>381</v>
      </c>
      <c r="K724" s="62" t="s">
        <v>96</v>
      </c>
      <c r="L724" s="62" t="s">
        <v>91</v>
      </c>
      <c r="M724" s="62" t="s">
        <v>47</v>
      </c>
      <c r="N724" s="5">
        <v>0</v>
      </c>
      <c r="O724" s="8">
        <v>0</v>
      </c>
      <c r="P724" s="69">
        <v>107000</v>
      </c>
      <c r="Q724" s="69">
        <v>173000</v>
      </c>
      <c r="R724" s="69">
        <v>140000</v>
      </c>
      <c r="S724" s="62" t="s">
        <v>176</v>
      </c>
      <c r="T724" s="8">
        <f t="shared" si="42"/>
        <v>55</v>
      </c>
      <c r="U724" s="8">
        <v>1</v>
      </c>
      <c r="V724" s="8">
        <v>0</v>
      </c>
      <c r="W724" s="8">
        <v>0</v>
      </c>
      <c r="X724" s="8">
        <v>1</v>
      </c>
      <c r="Y724" s="8">
        <v>1</v>
      </c>
      <c r="Z724" s="8">
        <v>1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62" t="s">
        <v>49</v>
      </c>
      <c r="AL724" s="62" t="s">
        <v>169</v>
      </c>
      <c r="AM724" s="62" t="s">
        <v>77</v>
      </c>
      <c r="AN724" s="5"/>
      <c r="AO724" s="7"/>
    </row>
    <row r="725" spans="1:41" ht="15.75" customHeight="1" x14ac:dyDescent="0.25">
      <c r="A725" s="4">
        <v>724</v>
      </c>
      <c r="B725" s="5" t="s">
        <v>877</v>
      </c>
      <c r="C725" s="58">
        <v>3.2</v>
      </c>
      <c r="D725" s="61" t="s">
        <v>394</v>
      </c>
      <c r="E725" s="72" t="s">
        <v>878</v>
      </c>
      <c r="F725" s="62" t="s">
        <v>396</v>
      </c>
      <c r="G725" s="8" t="s">
        <v>120</v>
      </c>
      <c r="H725" s="8">
        <v>1958</v>
      </c>
      <c r="I725" s="62" t="s">
        <v>160</v>
      </c>
      <c r="J725" s="62" t="s">
        <v>397</v>
      </c>
      <c r="K725" s="62" t="s">
        <v>71</v>
      </c>
      <c r="L725" s="62" t="s">
        <v>91</v>
      </c>
      <c r="M725" s="62" t="s">
        <v>398</v>
      </c>
      <c r="N725" s="5">
        <v>0</v>
      </c>
      <c r="O725" s="8">
        <v>0</v>
      </c>
      <c r="P725" s="69">
        <v>56000</v>
      </c>
      <c r="Q725" s="69">
        <v>99000</v>
      </c>
      <c r="R725" s="69">
        <v>77500</v>
      </c>
      <c r="S725" s="62" t="s">
        <v>122</v>
      </c>
      <c r="T725" s="8">
        <f t="shared" si="42"/>
        <v>65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62" t="s">
        <v>49</v>
      </c>
      <c r="AL725" s="62" t="s">
        <v>169</v>
      </c>
      <c r="AM725" s="62" t="s">
        <v>108</v>
      </c>
      <c r="AN725" s="5"/>
      <c r="AO725" s="7"/>
    </row>
    <row r="726" spans="1:41" ht="15.75" customHeight="1" x14ac:dyDescent="0.25">
      <c r="A726" s="4">
        <v>725</v>
      </c>
      <c r="B726" s="5" t="s">
        <v>879</v>
      </c>
      <c r="C726" s="58">
        <v>3.3</v>
      </c>
      <c r="D726" s="61" t="s">
        <v>880</v>
      </c>
      <c r="E726" s="72" t="s">
        <v>134</v>
      </c>
      <c r="F726" s="62" t="s">
        <v>134</v>
      </c>
      <c r="G726" s="8">
        <v>500</v>
      </c>
      <c r="H726" s="8">
        <v>1976</v>
      </c>
      <c r="I726" s="62" t="s">
        <v>44</v>
      </c>
      <c r="J726" s="62" t="s">
        <v>881</v>
      </c>
      <c r="K726" s="62" t="s">
        <v>882</v>
      </c>
      <c r="L726" s="62" t="s">
        <v>83</v>
      </c>
      <c r="M726" s="62" t="s">
        <v>47</v>
      </c>
      <c r="N726" s="5">
        <v>1</v>
      </c>
      <c r="O726" s="8">
        <v>1</v>
      </c>
      <c r="P726" s="69">
        <v>52000</v>
      </c>
      <c r="Q726" s="69">
        <v>58000</v>
      </c>
      <c r="R726" s="69">
        <v>55000</v>
      </c>
      <c r="S726" s="62" t="s">
        <v>138</v>
      </c>
      <c r="T726" s="8">
        <f t="shared" si="42"/>
        <v>47</v>
      </c>
      <c r="U726" s="8">
        <v>0</v>
      </c>
      <c r="V726" s="8">
        <v>0</v>
      </c>
      <c r="W726" s="8">
        <v>0</v>
      </c>
      <c r="X726" s="8">
        <v>1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62" t="s">
        <v>107</v>
      </c>
      <c r="AL726" s="62" t="s">
        <v>50</v>
      </c>
      <c r="AM726" s="62" t="s">
        <v>77</v>
      </c>
      <c r="AN726" s="5"/>
      <c r="AO726" s="7"/>
    </row>
    <row r="727" spans="1:41" ht="15.75" customHeight="1" x14ac:dyDescent="0.25">
      <c r="A727" s="4">
        <v>726</v>
      </c>
      <c r="B727" s="5" t="s">
        <v>883</v>
      </c>
      <c r="C727" s="58">
        <v>3.1</v>
      </c>
      <c r="D727" s="61" t="s">
        <v>833</v>
      </c>
      <c r="E727" s="72" t="s">
        <v>871</v>
      </c>
      <c r="F727" s="62" t="s">
        <v>835</v>
      </c>
      <c r="G727" s="8" t="s">
        <v>120</v>
      </c>
      <c r="H727" s="8">
        <v>1875</v>
      </c>
      <c r="I727" s="62" t="s">
        <v>44</v>
      </c>
      <c r="J727" s="62" t="s">
        <v>499</v>
      </c>
      <c r="K727" s="62" t="s">
        <v>427</v>
      </c>
      <c r="L727" s="62" t="s">
        <v>128</v>
      </c>
      <c r="M727" s="62" t="s">
        <v>47</v>
      </c>
      <c r="N727" s="5">
        <v>0</v>
      </c>
      <c r="O727" s="8">
        <v>0</v>
      </c>
      <c r="P727" s="69">
        <v>80000</v>
      </c>
      <c r="Q727" s="69">
        <v>155000</v>
      </c>
      <c r="R727" s="69">
        <v>117500</v>
      </c>
      <c r="S727" s="62" t="s">
        <v>423</v>
      </c>
      <c r="T727" s="8">
        <f t="shared" si="42"/>
        <v>148</v>
      </c>
      <c r="U727" s="8">
        <v>0</v>
      </c>
      <c r="V727" s="8">
        <v>0</v>
      </c>
      <c r="W727" s="8">
        <v>0</v>
      </c>
      <c r="X727" s="8">
        <v>1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62" t="s">
        <v>107</v>
      </c>
      <c r="AL727" s="62" t="s">
        <v>169</v>
      </c>
      <c r="AM727" s="62" t="s">
        <v>51</v>
      </c>
      <c r="AN727" s="5"/>
      <c r="AO727" s="7"/>
    </row>
    <row r="728" spans="1:41" ht="15.75" customHeight="1" x14ac:dyDescent="0.25">
      <c r="A728" s="4">
        <v>727</v>
      </c>
      <c r="B728" s="5" t="s">
        <v>884</v>
      </c>
      <c r="C728" s="58">
        <v>2.4</v>
      </c>
      <c r="D728" s="61" t="s">
        <v>885</v>
      </c>
      <c r="E728" s="72" t="s">
        <v>98</v>
      </c>
      <c r="F728" s="62" t="s">
        <v>335</v>
      </c>
      <c r="G728" s="8" t="s">
        <v>43</v>
      </c>
      <c r="H728" s="8">
        <v>2006</v>
      </c>
      <c r="I728" s="62" t="s">
        <v>44</v>
      </c>
      <c r="J728" s="62" t="s">
        <v>136</v>
      </c>
      <c r="K728" s="62" t="s">
        <v>136</v>
      </c>
      <c r="L728" s="62" t="s">
        <v>46</v>
      </c>
      <c r="M728" s="62" t="s">
        <v>47</v>
      </c>
      <c r="N728" s="5">
        <v>0</v>
      </c>
      <c r="O728" s="8">
        <v>0</v>
      </c>
      <c r="P728" s="69">
        <v>43000</v>
      </c>
      <c r="Q728" s="69">
        <v>98000</v>
      </c>
      <c r="R728" s="69">
        <v>70500</v>
      </c>
      <c r="S728" s="62" t="s">
        <v>102</v>
      </c>
      <c r="T728" s="8">
        <f t="shared" si="42"/>
        <v>17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62" t="s">
        <v>107</v>
      </c>
      <c r="AL728" s="62" t="s">
        <v>50</v>
      </c>
      <c r="AM728" s="62" t="s">
        <v>51</v>
      </c>
      <c r="AN728" s="5"/>
      <c r="AO728" s="7"/>
    </row>
    <row r="729" spans="1:41" ht="15.75" customHeight="1" x14ac:dyDescent="0.25">
      <c r="A729" s="4">
        <v>728</v>
      </c>
      <c r="B729" s="5" t="s">
        <v>886</v>
      </c>
      <c r="C729" s="58">
        <v>4.8</v>
      </c>
      <c r="D729" s="61" t="s">
        <v>887</v>
      </c>
      <c r="E729" s="72" t="s">
        <v>98</v>
      </c>
      <c r="F729" s="62" t="s">
        <v>114</v>
      </c>
      <c r="G729" s="8" t="s">
        <v>81</v>
      </c>
      <c r="H729" s="8">
        <v>2011</v>
      </c>
      <c r="I729" s="62" t="s">
        <v>44</v>
      </c>
      <c r="J729" s="62" t="s">
        <v>216</v>
      </c>
      <c r="K729" s="62" t="s">
        <v>111</v>
      </c>
      <c r="L729" s="62" t="s">
        <v>101</v>
      </c>
      <c r="M729" s="62" t="s">
        <v>47</v>
      </c>
      <c r="N729" s="5">
        <v>0</v>
      </c>
      <c r="O729" s="8">
        <v>0</v>
      </c>
      <c r="P729" s="69">
        <v>45000</v>
      </c>
      <c r="Q729" s="69">
        <v>78000</v>
      </c>
      <c r="R729" s="69">
        <v>61500</v>
      </c>
      <c r="S729" s="62" t="s">
        <v>102</v>
      </c>
      <c r="T729" s="8">
        <f t="shared" si="42"/>
        <v>12</v>
      </c>
      <c r="U729" s="8">
        <v>0</v>
      </c>
      <c r="V729" s="8">
        <v>0</v>
      </c>
      <c r="W729" s="8">
        <v>0</v>
      </c>
      <c r="X729" s="8">
        <v>1</v>
      </c>
      <c r="Y729" s="8">
        <v>1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1</v>
      </c>
      <c r="AG729" s="8">
        <v>0</v>
      </c>
      <c r="AH729" s="8">
        <v>0</v>
      </c>
      <c r="AI729" s="8">
        <v>0</v>
      </c>
      <c r="AJ729" s="8">
        <v>0</v>
      </c>
      <c r="AK729" s="62" t="s">
        <v>486</v>
      </c>
      <c r="AL729" s="62" t="s">
        <v>50</v>
      </c>
      <c r="AM729" s="62" t="s">
        <v>77</v>
      </c>
      <c r="AN729" s="5"/>
      <c r="AO729" s="7"/>
    </row>
    <row r="730" spans="1:41" ht="15.75" customHeight="1" x14ac:dyDescent="0.25">
      <c r="A730" s="4">
        <v>729</v>
      </c>
      <c r="B730" s="5" t="s">
        <v>892</v>
      </c>
      <c r="C730" s="58">
        <v>2.9</v>
      </c>
      <c r="D730" s="61" t="s">
        <v>889</v>
      </c>
      <c r="E730" s="72" t="s">
        <v>893</v>
      </c>
      <c r="F730" s="62" t="s">
        <v>891</v>
      </c>
      <c r="G730" s="8" t="s">
        <v>70</v>
      </c>
      <c r="H730" s="8">
        <v>2015</v>
      </c>
      <c r="I730" s="62" t="s">
        <v>44</v>
      </c>
      <c r="J730" s="62" t="s">
        <v>136</v>
      </c>
      <c r="K730" s="62" t="s">
        <v>136</v>
      </c>
      <c r="L730" s="62" t="s">
        <v>83</v>
      </c>
      <c r="M730" s="62" t="s">
        <v>47</v>
      </c>
      <c r="N730" s="5">
        <v>0</v>
      </c>
      <c r="O730" s="8">
        <v>0</v>
      </c>
      <c r="P730" s="69">
        <v>50000</v>
      </c>
      <c r="Q730" s="69">
        <v>110000</v>
      </c>
      <c r="R730" s="69">
        <v>80000</v>
      </c>
      <c r="S730" s="62" t="s">
        <v>310</v>
      </c>
      <c r="T730" s="8">
        <f t="shared" si="42"/>
        <v>8</v>
      </c>
      <c r="U730" s="8">
        <v>0</v>
      </c>
      <c r="V730" s="8">
        <v>0</v>
      </c>
      <c r="W730" s="8">
        <v>0</v>
      </c>
      <c r="X730" s="8">
        <v>1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62" t="s">
        <v>107</v>
      </c>
      <c r="AL730" s="62" t="s">
        <v>169</v>
      </c>
      <c r="AM730" s="62" t="s">
        <v>77</v>
      </c>
      <c r="AN730" s="5"/>
      <c r="AO730" s="7"/>
    </row>
    <row r="731" spans="1:41" ht="15.75" customHeight="1" x14ac:dyDescent="0.25">
      <c r="A731" s="4">
        <v>730</v>
      </c>
      <c r="B731" s="5" t="s">
        <v>888</v>
      </c>
      <c r="C731" s="58">
        <v>2.9</v>
      </c>
      <c r="D731" s="61" t="s">
        <v>889</v>
      </c>
      <c r="E731" s="72" t="s">
        <v>890</v>
      </c>
      <c r="F731" s="62" t="s">
        <v>891</v>
      </c>
      <c r="G731" s="8" t="s">
        <v>70</v>
      </c>
      <c r="H731" s="8">
        <v>2015</v>
      </c>
      <c r="I731" s="62" t="s">
        <v>44</v>
      </c>
      <c r="J731" s="62" t="s">
        <v>136</v>
      </c>
      <c r="K731" s="62" t="s">
        <v>136</v>
      </c>
      <c r="L731" s="62" t="s">
        <v>83</v>
      </c>
      <c r="M731" s="62" t="s">
        <v>47</v>
      </c>
      <c r="N731" s="5">
        <v>0</v>
      </c>
      <c r="O731" s="8">
        <v>0</v>
      </c>
      <c r="P731" s="69">
        <v>44000</v>
      </c>
      <c r="Q731" s="69">
        <v>96000</v>
      </c>
      <c r="R731" s="69">
        <v>70000</v>
      </c>
      <c r="S731" s="62" t="s">
        <v>85</v>
      </c>
      <c r="T731" s="8">
        <f t="shared" si="42"/>
        <v>8</v>
      </c>
      <c r="U731" s="8">
        <v>0</v>
      </c>
      <c r="V731" s="8">
        <v>0</v>
      </c>
      <c r="W731" s="8">
        <v>0</v>
      </c>
      <c r="X731" s="8">
        <v>1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62" t="s">
        <v>107</v>
      </c>
      <c r="AL731" s="62" t="s">
        <v>50</v>
      </c>
      <c r="AM731" s="62" t="s">
        <v>77</v>
      </c>
      <c r="AN731" s="5"/>
      <c r="AO731" s="7"/>
    </row>
    <row r="732" spans="1:41" ht="15.75" customHeight="1" x14ac:dyDescent="0.25">
      <c r="A732" s="4">
        <v>731</v>
      </c>
      <c r="B732" s="5" t="s">
        <v>897</v>
      </c>
      <c r="C732" s="58">
        <v>0</v>
      </c>
      <c r="D732" s="61" t="s">
        <v>898</v>
      </c>
      <c r="E732" s="72" t="s">
        <v>134</v>
      </c>
      <c r="F732" s="62" t="s">
        <v>899</v>
      </c>
      <c r="G732" s="8">
        <v>500</v>
      </c>
      <c r="H732" s="8" t="s">
        <v>47</v>
      </c>
      <c r="I732" s="62" t="s">
        <v>44</v>
      </c>
      <c r="J732" s="62" t="s">
        <v>47</v>
      </c>
      <c r="K732" s="62" t="s">
        <v>47</v>
      </c>
      <c r="L732" s="62" t="s">
        <v>83</v>
      </c>
      <c r="M732" s="62" t="s">
        <v>47</v>
      </c>
      <c r="N732" s="5">
        <v>0</v>
      </c>
      <c r="O732" s="8">
        <v>1</v>
      </c>
      <c r="P732" s="69">
        <v>100000</v>
      </c>
      <c r="Q732" s="69">
        <v>140000</v>
      </c>
      <c r="R732" s="69">
        <v>120000</v>
      </c>
      <c r="S732" s="62" t="s">
        <v>138</v>
      </c>
      <c r="T732" s="8" t="s">
        <v>47</v>
      </c>
      <c r="U732" s="8">
        <v>0</v>
      </c>
      <c r="V732" s="8">
        <v>0</v>
      </c>
      <c r="W732" s="8">
        <v>0</v>
      </c>
      <c r="X732" s="8">
        <v>1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62" t="s">
        <v>107</v>
      </c>
      <c r="AL732" s="62" t="s">
        <v>50</v>
      </c>
      <c r="AM732" s="62" t="s">
        <v>108</v>
      </c>
      <c r="AN732" s="5"/>
      <c r="AO732" s="7"/>
    </row>
    <row r="733" spans="1:41" ht="15.75" customHeight="1" x14ac:dyDescent="0.25">
      <c r="A733" s="4">
        <v>732</v>
      </c>
      <c r="B733" s="5" t="s">
        <v>894</v>
      </c>
      <c r="C733" s="58">
        <v>3.4</v>
      </c>
      <c r="D733" s="61" t="s">
        <v>895</v>
      </c>
      <c r="E733" s="72" t="s">
        <v>896</v>
      </c>
      <c r="F733" s="62" t="s">
        <v>896</v>
      </c>
      <c r="G733" s="8" t="s">
        <v>70</v>
      </c>
      <c r="H733" s="8">
        <v>1988</v>
      </c>
      <c r="I733" s="62" t="s">
        <v>44</v>
      </c>
      <c r="J733" s="62" t="s">
        <v>161</v>
      </c>
      <c r="K733" s="62" t="s">
        <v>162</v>
      </c>
      <c r="L733" s="62" t="s">
        <v>66</v>
      </c>
      <c r="M733" s="62" t="s">
        <v>47</v>
      </c>
      <c r="N733" s="5">
        <v>0</v>
      </c>
      <c r="O733" s="8">
        <v>0</v>
      </c>
      <c r="P733" s="69">
        <v>61000</v>
      </c>
      <c r="Q733" s="69">
        <v>119000</v>
      </c>
      <c r="R733" s="69">
        <v>90000</v>
      </c>
      <c r="S733" s="62" t="s">
        <v>138</v>
      </c>
      <c r="T733" s="8">
        <f t="shared" ref="T733:T741" si="43">2023-H733</f>
        <v>35</v>
      </c>
      <c r="U733" s="8">
        <v>0</v>
      </c>
      <c r="V733" s="8">
        <v>1</v>
      </c>
      <c r="W733" s="8">
        <v>0</v>
      </c>
      <c r="X733" s="8">
        <v>1</v>
      </c>
      <c r="Y733" s="8">
        <v>1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1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62" t="s">
        <v>146</v>
      </c>
      <c r="AL733" s="62" t="s">
        <v>50</v>
      </c>
      <c r="AM733" s="62" t="s">
        <v>77</v>
      </c>
      <c r="AN733" s="5"/>
      <c r="AO733" s="7"/>
    </row>
    <row r="734" spans="1:41" ht="15.75" customHeight="1" x14ac:dyDescent="0.25">
      <c r="A734" s="4">
        <v>733</v>
      </c>
      <c r="B734" s="5" t="s">
        <v>1226</v>
      </c>
      <c r="C734" s="58">
        <v>4.0999999999999996</v>
      </c>
      <c r="D734" s="61" t="s">
        <v>778</v>
      </c>
      <c r="E734" s="72" t="s">
        <v>296</v>
      </c>
      <c r="F734" s="62" t="s">
        <v>297</v>
      </c>
      <c r="G734" s="8">
        <v>500</v>
      </c>
      <c r="H734" s="8">
        <v>2007</v>
      </c>
      <c r="I734" s="62" t="s">
        <v>44</v>
      </c>
      <c r="J734" s="62" t="s">
        <v>779</v>
      </c>
      <c r="K734" s="62" t="s">
        <v>415</v>
      </c>
      <c r="L734" s="62" t="s">
        <v>83</v>
      </c>
      <c r="M734" s="62" t="s">
        <v>47</v>
      </c>
      <c r="N734" s="5">
        <v>0</v>
      </c>
      <c r="O734" s="8">
        <v>0</v>
      </c>
      <c r="P734" s="69">
        <v>80000</v>
      </c>
      <c r="Q734" s="69">
        <v>142000</v>
      </c>
      <c r="R734" s="69">
        <v>111000</v>
      </c>
      <c r="S734" s="62" t="s">
        <v>102</v>
      </c>
      <c r="T734" s="8">
        <f t="shared" si="43"/>
        <v>16</v>
      </c>
      <c r="U734" s="8">
        <v>1</v>
      </c>
      <c r="V734" s="8">
        <v>0</v>
      </c>
      <c r="W734" s="8">
        <v>1</v>
      </c>
      <c r="X734" s="8">
        <v>1</v>
      </c>
      <c r="Y734" s="8">
        <v>0</v>
      </c>
      <c r="Z734" s="8">
        <v>0</v>
      </c>
      <c r="AA734" s="8">
        <v>0</v>
      </c>
      <c r="AB734" s="8">
        <v>1</v>
      </c>
      <c r="AC734" s="8">
        <v>0</v>
      </c>
      <c r="AD734" s="8">
        <v>1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62" t="s">
        <v>508</v>
      </c>
      <c r="AL734" s="62" t="s">
        <v>50</v>
      </c>
      <c r="AM734" s="62" t="s">
        <v>77</v>
      </c>
      <c r="AN734" s="5"/>
      <c r="AO734" s="7"/>
    </row>
    <row r="735" spans="1:41" ht="15.75" customHeight="1" x14ac:dyDescent="0.25">
      <c r="A735" s="4">
        <v>734</v>
      </c>
      <c r="B735" s="5" t="s">
        <v>433</v>
      </c>
      <c r="C735" s="58">
        <v>3.9</v>
      </c>
      <c r="D735" s="61" t="s">
        <v>1125</v>
      </c>
      <c r="E735" s="72" t="s">
        <v>98</v>
      </c>
      <c r="F735" s="62" t="s">
        <v>114</v>
      </c>
      <c r="G735" s="8" t="s">
        <v>81</v>
      </c>
      <c r="H735" s="8">
        <v>2008</v>
      </c>
      <c r="I735" s="62" t="s">
        <v>89</v>
      </c>
      <c r="J735" s="62" t="s">
        <v>216</v>
      </c>
      <c r="K735" s="62" t="s">
        <v>111</v>
      </c>
      <c r="L735" s="62" t="s">
        <v>83</v>
      </c>
      <c r="M735" s="62" t="s">
        <v>47</v>
      </c>
      <c r="N735" s="5">
        <v>0</v>
      </c>
      <c r="O735" s="8">
        <v>0</v>
      </c>
      <c r="P735" s="69">
        <v>99000</v>
      </c>
      <c r="Q735" s="69">
        <v>178000</v>
      </c>
      <c r="R735" s="69">
        <v>138500</v>
      </c>
      <c r="S735" s="62" t="s">
        <v>102</v>
      </c>
      <c r="T735" s="8">
        <f t="shared" si="43"/>
        <v>15</v>
      </c>
      <c r="U735" s="8">
        <v>1</v>
      </c>
      <c r="V735" s="8">
        <v>0</v>
      </c>
      <c r="W735" s="8">
        <v>0</v>
      </c>
      <c r="X735" s="8">
        <v>0</v>
      </c>
      <c r="Y735" s="8">
        <v>1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1</v>
      </c>
      <c r="AG735" s="8">
        <v>0</v>
      </c>
      <c r="AH735" s="8">
        <v>0</v>
      </c>
      <c r="AI735" s="8">
        <v>0</v>
      </c>
      <c r="AJ735" s="8">
        <v>0</v>
      </c>
      <c r="AK735" s="62" t="s">
        <v>132</v>
      </c>
      <c r="AL735" s="62" t="s">
        <v>169</v>
      </c>
      <c r="AM735" s="62" t="s">
        <v>77</v>
      </c>
      <c r="AN735" s="5"/>
      <c r="AO735" s="7"/>
    </row>
    <row r="736" spans="1:41" ht="15.75" customHeight="1" x14ac:dyDescent="0.25">
      <c r="A736" s="4">
        <v>735</v>
      </c>
      <c r="B736" s="5" t="s">
        <v>1130</v>
      </c>
      <c r="C736" s="58">
        <v>3.6</v>
      </c>
      <c r="D736" s="61" t="s">
        <v>550</v>
      </c>
      <c r="E736" s="72" t="s">
        <v>269</v>
      </c>
      <c r="F736" s="62" t="s">
        <v>551</v>
      </c>
      <c r="G736" s="8" t="s">
        <v>120</v>
      </c>
      <c r="H736" s="8">
        <v>1851</v>
      </c>
      <c r="I736" s="62" t="s">
        <v>44</v>
      </c>
      <c r="J736" s="62" t="s">
        <v>161</v>
      </c>
      <c r="K736" s="62" t="s">
        <v>162</v>
      </c>
      <c r="L736" s="62" t="s">
        <v>128</v>
      </c>
      <c r="M736" s="62" t="s">
        <v>47</v>
      </c>
      <c r="N736" s="5">
        <v>0</v>
      </c>
      <c r="O736" s="8">
        <v>0</v>
      </c>
      <c r="P736" s="69">
        <v>37000</v>
      </c>
      <c r="Q736" s="69">
        <v>100000</v>
      </c>
      <c r="R736" s="69">
        <v>68500</v>
      </c>
      <c r="S736" s="62" t="s">
        <v>138</v>
      </c>
      <c r="T736" s="8">
        <f t="shared" si="43"/>
        <v>172</v>
      </c>
      <c r="U736" s="8">
        <v>0</v>
      </c>
      <c r="V736" s="8">
        <v>0</v>
      </c>
      <c r="W736" s="8">
        <v>0</v>
      </c>
      <c r="X736" s="8">
        <v>1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62" t="s">
        <v>49</v>
      </c>
      <c r="AL736" s="62" t="s">
        <v>50</v>
      </c>
      <c r="AM736" s="62" t="s">
        <v>51</v>
      </c>
      <c r="AN736" s="5"/>
      <c r="AO736" s="7"/>
    </row>
    <row r="737" spans="1:41" ht="15.75" customHeight="1" x14ac:dyDescent="0.25">
      <c r="A737" s="4">
        <v>736</v>
      </c>
      <c r="B737" s="5" t="s">
        <v>224</v>
      </c>
      <c r="C737" s="58">
        <v>3.9</v>
      </c>
      <c r="D737" s="61" t="s">
        <v>1227</v>
      </c>
      <c r="E737" s="72" t="s">
        <v>98</v>
      </c>
      <c r="F737" s="62" t="s">
        <v>114</v>
      </c>
      <c r="G737" s="8" t="s">
        <v>88</v>
      </c>
      <c r="H737" s="8">
        <v>2011</v>
      </c>
      <c r="I737" s="62" t="s">
        <v>44</v>
      </c>
      <c r="J737" s="62" t="s">
        <v>110</v>
      </c>
      <c r="K737" s="62" t="s">
        <v>111</v>
      </c>
      <c r="L737" s="62" t="s">
        <v>66</v>
      </c>
      <c r="M737" s="62" t="s">
        <v>1228</v>
      </c>
      <c r="N737" s="5">
        <v>0</v>
      </c>
      <c r="O737" s="8">
        <v>0</v>
      </c>
      <c r="P737" s="69">
        <v>62000</v>
      </c>
      <c r="Q737" s="69">
        <v>113000</v>
      </c>
      <c r="R737" s="69">
        <v>87500</v>
      </c>
      <c r="S737" s="62" t="s">
        <v>102</v>
      </c>
      <c r="T737" s="8">
        <f t="shared" si="43"/>
        <v>12</v>
      </c>
      <c r="U737" s="8">
        <v>1</v>
      </c>
      <c r="V737" s="8">
        <v>0</v>
      </c>
      <c r="W737" s="8">
        <v>1</v>
      </c>
      <c r="X737" s="8">
        <v>1</v>
      </c>
      <c r="Y737" s="8">
        <v>1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62" t="s">
        <v>146</v>
      </c>
      <c r="AL737" s="62" t="s">
        <v>50</v>
      </c>
      <c r="AM737" s="62" t="s">
        <v>108</v>
      </c>
      <c r="AN737" s="5"/>
      <c r="AO737" s="7"/>
    </row>
    <row r="738" spans="1:41" ht="15.75" customHeight="1" x14ac:dyDescent="0.25">
      <c r="A738" s="4">
        <v>737</v>
      </c>
      <c r="B738" s="5" t="s">
        <v>1126</v>
      </c>
      <c r="C738" s="58">
        <v>3.6</v>
      </c>
      <c r="D738" s="61" t="s">
        <v>1127</v>
      </c>
      <c r="E738" s="72" t="s">
        <v>1128</v>
      </c>
      <c r="F738" s="62" t="s">
        <v>910</v>
      </c>
      <c r="G738" s="8" t="s">
        <v>56</v>
      </c>
      <c r="H738" s="8">
        <v>2017</v>
      </c>
      <c r="I738" s="62" t="s">
        <v>89</v>
      </c>
      <c r="J738" s="62" t="s">
        <v>136</v>
      </c>
      <c r="K738" s="62" t="s">
        <v>136</v>
      </c>
      <c r="L738" s="62" t="s">
        <v>60</v>
      </c>
      <c r="M738" s="62" t="s">
        <v>1129</v>
      </c>
      <c r="N738" s="5">
        <v>0</v>
      </c>
      <c r="O738" s="8">
        <v>0</v>
      </c>
      <c r="P738" s="69">
        <v>86000</v>
      </c>
      <c r="Q738" s="69">
        <v>137000</v>
      </c>
      <c r="R738" s="69">
        <v>111500</v>
      </c>
      <c r="S738" s="62" t="s">
        <v>305</v>
      </c>
      <c r="T738" s="8">
        <f t="shared" si="43"/>
        <v>6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62" t="s">
        <v>49</v>
      </c>
      <c r="AL738" s="62" t="s">
        <v>169</v>
      </c>
      <c r="AM738" s="62" t="s">
        <v>51</v>
      </c>
      <c r="AN738" s="5"/>
      <c r="AO738" s="7"/>
    </row>
    <row r="739" spans="1:41" ht="15.75" customHeight="1" x14ac:dyDescent="0.25">
      <c r="A739" s="4">
        <v>738</v>
      </c>
      <c r="B739" s="5" t="s">
        <v>1131</v>
      </c>
      <c r="C739" s="58">
        <v>3.9</v>
      </c>
      <c r="D739" s="61" t="s">
        <v>1100</v>
      </c>
      <c r="E739" s="72" t="s">
        <v>134</v>
      </c>
      <c r="F739" s="62" t="s">
        <v>1101</v>
      </c>
      <c r="G739" s="8" t="s">
        <v>56</v>
      </c>
      <c r="H739" s="8">
        <v>1830</v>
      </c>
      <c r="I739" s="62" t="s">
        <v>89</v>
      </c>
      <c r="J739" s="62" t="s">
        <v>136</v>
      </c>
      <c r="K739" s="62" t="s">
        <v>136</v>
      </c>
      <c r="L739" s="62" t="s">
        <v>128</v>
      </c>
      <c r="M739" s="62" t="s">
        <v>1102</v>
      </c>
      <c r="N739" s="5">
        <v>0</v>
      </c>
      <c r="O739" s="8">
        <v>0</v>
      </c>
      <c r="P739" s="69">
        <v>58000</v>
      </c>
      <c r="Q739" s="69">
        <v>111000</v>
      </c>
      <c r="R739" s="69">
        <v>84500</v>
      </c>
      <c r="S739" s="62" t="s">
        <v>138</v>
      </c>
      <c r="T739" s="8">
        <f t="shared" si="43"/>
        <v>193</v>
      </c>
      <c r="U739" s="8">
        <v>0</v>
      </c>
      <c r="V739" s="8">
        <v>0</v>
      </c>
      <c r="W739" s="8">
        <v>1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62" t="s">
        <v>107</v>
      </c>
      <c r="AL739" s="62" t="s">
        <v>169</v>
      </c>
      <c r="AM739" s="62" t="s">
        <v>51</v>
      </c>
      <c r="AN739" s="5"/>
      <c r="AO739" s="7"/>
    </row>
    <row r="740" spans="1:41" ht="15.75" customHeight="1" x14ac:dyDescent="0.25">
      <c r="A740" s="4">
        <v>739</v>
      </c>
      <c r="B740" s="5" t="s">
        <v>464</v>
      </c>
      <c r="C740" s="58">
        <v>4.4000000000000004</v>
      </c>
      <c r="D740" s="61" t="s">
        <v>716</v>
      </c>
      <c r="E740" s="72" t="s">
        <v>717</v>
      </c>
      <c r="F740" s="62" t="s">
        <v>114</v>
      </c>
      <c r="G740" s="8" t="s">
        <v>70</v>
      </c>
      <c r="H740" s="8">
        <v>2006</v>
      </c>
      <c r="I740" s="62" t="s">
        <v>89</v>
      </c>
      <c r="J740" s="62" t="s">
        <v>110</v>
      </c>
      <c r="K740" s="62" t="s">
        <v>111</v>
      </c>
      <c r="L740" s="62" t="s">
        <v>66</v>
      </c>
      <c r="M740" s="62" t="s">
        <v>718</v>
      </c>
      <c r="N740" s="5">
        <v>0</v>
      </c>
      <c r="O740" s="8">
        <v>0</v>
      </c>
      <c r="P740" s="69">
        <v>72000</v>
      </c>
      <c r="Q740" s="69">
        <v>133000</v>
      </c>
      <c r="R740" s="69">
        <v>102500</v>
      </c>
      <c r="S740" s="62" t="s">
        <v>542</v>
      </c>
      <c r="T740" s="8">
        <f t="shared" si="43"/>
        <v>17</v>
      </c>
      <c r="U740" s="8">
        <v>1</v>
      </c>
      <c r="V740" s="8">
        <v>1</v>
      </c>
      <c r="W740" s="8">
        <v>1</v>
      </c>
      <c r="X740" s="8">
        <v>0</v>
      </c>
      <c r="Y740" s="8">
        <v>1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1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62" t="s">
        <v>146</v>
      </c>
      <c r="AL740" s="62" t="s">
        <v>169</v>
      </c>
      <c r="AM740" s="62" t="s">
        <v>77</v>
      </c>
      <c r="AN740" s="5"/>
      <c r="AO740" s="7"/>
    </row>
    <row r="741" spans="1:41" ht="15.75" customHeight="1" x14ac:dyDescent="0.25">
      <c r="A741" s="4">
        <v>740</v>
      </c>
      <c r="B741" s="5" t="s">
        <v>900</v>
      </c>
      <c r="C741" s="58">
        <v>2.6</v>
      </c>
      <c r="D741" s="61" t="s">
        <v>530</v>
      </c>
      <c r="E741" s="72" t="s">
        <v>342</v>
      </c>
      <c r="F741" s="62" t="s">
        <v>342</v>
      </c>
      <c r="G741" s="8" t="s">
        <v>43</v>
      </c>
      <c r="H741" s="8">
        <v>1984</v>
      </c>
      <c r="I741" s="62" t="s">
        <v>531</v>
      </c>
      <c r="J741" s="62" t="s">
        <v>532</v>
      </c>
      <c r="K741" s="62" t="s">
        <v>415</v>
      </c>
      <c r="L741" s="62" t="s">
        <v>83</v>
      </c>
      <c r="M741" s="62" t="s">
        <v>47</v>
      </c>
      <c r="N741" s="5">
        <v>0</v>
      </c>
      <c r="O741" s="8">
        <v>0</v>
      </c>
      <c r="P741" s="69">
        <v>56000</v>
      </c>
      <c r="Q741" s="69">
        <v>91000</v>
      </c>
      <c r="R741" s="69">
        <v>73500</v>
      </c>
      <c r="S741" s="62" t="s">
        <v>305</v>
      </c>
      <c r="T741" s="8">
        <f t="shared" si="43"/>
        <v>39</v>
      </c>
      <c r="U741" s="8">
        <v>0</v>
      </c>
      <c r="V741" s="8">
        <v>0</v>
      </c>
      <c r="W741" s="8">
        <v>0</v>
      </c>
      <c r="X741" s="8">
        <v>1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62" t="s">
        <v>107</v>
      </c>
      <c r="AL741" s="62" t="s">
        <v>50</v>
      </c>
      <c r="AM741" s="62" t="s">
        <v>108</v>
      </c>
      <c r="AN741" s="5"/>
      <c r="AO741" s="7"/>
    </row>
    <row r="742" spans="1:41" ht="15.75" customHeight="1" x14ac:dyDescent="0.25">
      <c r="A742" s="4">
        <v>741</v>
      </c>
      <c r="B742" s="5" t="s">
        <v>1134</v>
      </c>
      <c r="C742" s="58">
        <v>3.2</v>
      </c>
      <c r="D742" s="61" t="s">
        <v>314</v>
      </c>
      <c r="E742" s="72" t="s">
        <v>1135</v>
      </c>
      <c r="F742" s="62" t="s">
        <v>316</v>
      </c>
      <c r="G742" s="8">
        <v>500</v>
      </c>
      <c r="H742" s="8" t="s">
        <v>47</v>
      </c>
      <c r="I742" s="62" t="s">
        <v>44</v>
      </c>
      <c r="J742" s="62" t="s">
        <v>317</v>
      </c>
      <c r="K742" s="62" t="s">
        <v>65</v>
      </c>
      <c r="L742" s="62" t="s">
        <v>318</v>
      </c>
      <c r="M742" s="62" t="s">
        <v>47</v>
      </c>
      <c r="N742" s="5">
        <v>0</v>
      </c>
      <c r="O742" s="8">
        <v>0</v>
      </c>
      <c r="P742" s="69">
        <v>95000</v>
      </c>
      <c r="Q742" s="69">
        <v>160000</v>
      </c>
      <c r="R742" s="69">
        <v>127500</v>
      </c>
      <c r="S742" s="62" t="s">
        <v>305</v>
      </c>
      <c r="T742" s="8" t="s">
        <v>47</v>
      </c>
      <c r="U742" s="8">
        <v>0</v>
      </c>
      <c r="V742" s="8">
        <v>0</v>
      </c>
      <c r="W742" s="8">
        <v>0</v>
      </c>
      <c r="X742" s="8">
        <v>1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62" t="s">
        <v>49</v>
      </c>
      <c r="AL742" s="62" t="s">
        <v>50</v>
      </c>
      <c r="AM742" s="62" t="s">
        <v>77</v>
      </c>
      <c r="AN742" s="5"/>
      <c r="AO742" s="7"/>
    </row>
    <row r="743" spans="1:41" ht="15.75" customHeight="1" x14ac:dyDescent="0.25">
      <c r="A743" s="4">
        <v>742</v>
      </c>
      <c r="B743" s="5" t="s">
        <v>1132</v>
      </c>
      <c r="C743" s="58">
        <v>3.6</v>
      </c>
      <c r="D743" s="61" t="s">
        <v>1133</v>
      </c>
      <c r="E743" s="72" t="s">
        <v>256</v>
      </c>
      <c r="F743" s="62" t="s">
        <v>364</v>
      </c>
      <c r="G743" s="8" t="s">
        <v>43</v>
      </c>
      <c r="H743" s="8">
        <v>1967</v>
      </c>
      <c r="I743" s="62" t="s">
        <v>160</v>
      </c>
      <c r="J743" s="62" t="s">
        <v>397</v>
      </c>
      <c r="K743" s="62" t="s">
        <v>71</v>
      </c>
      <c r="L743" s="62" t="s">
        <v>46</v>
      </c>
      <c r="M743" s="62" t="s">
        <v>47</v>
      </c>
      <c r="N743" s="5">
        <v>0</v>
      </c>
      <c r="O743" s="8">
        <v>0</v>
      </c>
      <c r="P743" s="69">
        <v>61000</v>
      </c>
      <c r="Q743" s="69">
        <v>126000</v>
      </c>
      <c r="R743" s="69">
        <v>93500</v>
      </c>
      <c r="S743" s="62" t="s">
        <v>258</v>
      </c>
      <c r="T743" s="8">
        <f>2023-H743</f>
        <v>56</v>
      </c>
      <c r="U743" s="8">
        <v>1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62" t="s">
        <v>107</v>
      </c>
      <c r="AL743" s="62" t="s">
        <v>50</v>
      </c>
      <c r="AM743" s="62" t="s">
        <v>51</v>
      </c>
      <c r="AN743" s="5"/>
      <c r="AO743" s="7"/>
    </row>
    <row r="744" spans="1:41" ht="15.75" customHeight="1" x14ac:dyDescent="0.25">
      <c r="A744" s="4"/>
      <c r="B744" s="5"/>
      <c r="C744" s="58"/>
      <c r="D744" s="62"/>
      <c r="E744" s="62"/>
      <c r="F744" s="62"/>
      <c r="G744" s="8"/>
      <c r="H744" s="8"/>
      <c r="I744" s="62"/>
      <c r="J744" s="62"/>
      <c r="K744" s="62"/>
      <c r="L744" s="62"/>
      <c r="M744" s="62"/>
      <c r="N744" s="5"/>
      <c r="O744" s="8"/>
      <c r="P744" s="69"/>
      <c r="Q744" s="69"/>
      <c r="R744" s="69"/>
      <c r="S744" s="62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62"/>
      <c r="AL744" s="62"/>
      <c r="AM744" s="62"/>
      <c r="AN744" s="5"/>
      <c r="AO744" s="7"/>
    </row>
    <row r="745" spans="1:41" ht="15.75" customHeight="1" x14ac:dyDescent="0.25">
      <c r="A745" s="9"/>
      <c r="B745" s="10"/>
      <c r="C745" s="59"/>
      <c r="D745" s="63"/>
      <c r="E745" s="63"/>
      <c r="F745" s="63"/>
      <c r="G745" s="66"/>
      <c r="H745" s="66"/>
      <c r="I745" s="63"/>
      <c r="J745" s="63"/>
      <c r="K745" s="63"/>
      <c r="L745" s="63"/>
      <c r="M745" s="63"/>
      <c r="N745" s="10"/>
      <c r="O745" s="66"/>
      <c r="P745" s="70"/>
      <c r="Q745" s="70"/>
      <c r="R745" s="70"/>
      <c r="S745" s="63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3"/>
      <c r="AL745" s="63"/>
      <c r="AM745" s="63"/>
      <c r="AN745" s="10"/>
      <c r="AO745" s="1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tabSelected="1" workbookViewId="0">
      <selection activeCell="G5" sqref="G5"/>
    </sheetView>
  </sheetViews>
  <sheetFormatPr defaultColWidth="14.42578125" defaultRowHeight="15" customHeight="1" x14ac:dyDescent="0.25"/>
  <cols>
    <col min="1" max="1" width="16" customWidth="1"/>
    <col min="2" max="2" width="9.7109375" customWidth="1"/>
    <col min="3" max="3" width="8.7109375" customWidth="1"/>
    <col min="4" max="4" width="16" customWidth="1"/>
    <col min="5" max="5" width="10.7109375" customWidth="1"/>
    <col min="6" max="6" width="12.42578125" customWidth="1"/>
    <col min="7" max="7" width="16" customWidth="1"/>
    <col min="8" max="8" width="14.5703125" customWidth="1"/>
    <col min="9" max="9" width="8.7109375" customWidth="1"/>
    <col min="10" max="10" width="16" customWidth="1"/>
    <col min="11" max="11" width="15" customWidth="1"/>
    <col min="12" max="12" width="8.7109375" customWidth="1"/>
    <col min="13" max="13" width="28.42578125" customWidth="1"/>
    <col min="14" max="14" width="10" customWidth="1"/>
    <col min="15" max="15" width="8.7109375" customWidth="1"/>
    <col min="16" max="16" width="40.5703125" customWidth="1"/>
    <col min="17" max="17" width="10.42578125" customWidth="1"/>
    <col min="18" max="18" width="12.42578125" customWidth="1"/>
    <col min="19" max="19" width="7.7109375" customWidth="1"/>
    <col min="20" max="20" width="10.28515625" customWidth="1"/>
    <col min="21" max="21" width="13.42578125" customWidth="1"/>
    <col min="22" max="22" width="12.140625" customWidth="1"/>
    <col min="23" max="24" width="8.7109375" customWidth="1"/>
    <col min="25" max="25" width="9.140625" customWidth="1"/>
    <col min="26" max="26" width="28.42578125" customWidth="1"/>
    <col min="27" max="27" width="19" customWidth="1"/>
    <col min="28" max="28" width="8.7109375" customWidth="1"/>
    <col min="29" max="29" width="38.7109375" customWidth="1"/>
    <col min="30" max="30" width="19" customWidth="1"/>
    <col min="31" max="31" width="8.7109375" customWidth="1"/>
    <col min="32" max="33" width="9.140625" customWidth="1"/>
    <col min="34" max="34" width="13.5703125" customWidth="1"/>
    <col min="35" max="35" width="23.140625" customWidth="1"/>
    <col min="36" max="37" width="9.140625" customWidth="1"/>
    <col min="38" max="38" width="13.5703125" customWidth="1"/>
    <col min="39" max="39" width="13.85546875" customWidth="1"/>
    <col min="40" max="40" width="27.140625" customWidth="1"/>
    <col min="41" max="41" width="29.140625" customWidth="1"/>
    <col min="42" max="42" width="27.5703125" customWidth="1"/>
    <col min="43" max="43" width="10.85546875" customWidth="1"/>
    <col min="44" max="44" width="17.140625" customWidth="1"/>
  </cols>
  <sheetData>
    <row r="1" spans="1:44" ht="26.25" customHeight="1" x14ac:dyDescent="0.25">
      <c r="A1" s="12" t="s">
        <v>1229</v>
      </c>
      <c r="D1" s="12" t="s">
        <v>1230</v>
      </c>
      <c r="G1" s="12" t="s">
        <v>1231</v>
      </c>
      <c r="J1" s="12" t="s">
        <v>1232</v>
      </c>
      <c r="M1" s="12" t="s">
        <v>1233</v>
      </c>
      <c r="P1" s="13" t="s">
        <v>1234</v>
      </c>
      <c r="U1" s="14" t="s">
        <v>1235</v>
      </c>
      <c r="Y1" s="15"/>
      <c r="Z1" s="14" t="s">
        <v>1236</v>
      </c>
      <c r="AC1" s="16" t="s">
        <v>1237</v>
      </c>
      <c r="AF1" s="17" t="s">
        <v>1238</v>
      </c>
      <c r="AJ1" s="14" t="s">
        <v>1239</v>
      </c>
      <c r="AO1" s="14" t="s">
        <v>1240</v>
      </c>
    </row>
    <row r="2" spans="1:44" x14ac:dyDescent="0.25">
      <c r="A2" s="73" t="s">
        <v>18</v>
      </c>
      <c r="B2" s="74" t="s">
        <v>1241</v>
      </c>
      <c r="D2" s="73" t="s">
        <v>18</v>
      </c>
      <c r="E2" s="74" t="s">
        <v>1242</v>
      </c>
      <c r="G2" s="73" t="s">
        <v>18</v>
      </c>
      <c r="H2" s="74" t="s">
        <v>1243</v>
      </c>
      <c r="J2" s="73" t="s">
        <v>18</v>
      </c>
      <c r="K2" s="74" t="s">
        <v>1244</v>
      </c>
      <c r="M2" s="73" t="s">
        <v>36</v>
      </c>
      <c r="N2" s="74" t="s">
        <v>1245</v>
      </c>
      <c r="P2" s="18" t="s">
        <v>1246</v>
      </c>
      <c r="Q2" s="18" t="s">
        <v>1245</v>
      </c>
      <c r="R2" s="19" t="s">
        <v>1247</v>
      </c>
      <c r="S2" s="18" t="s">
        <v>1248</v>
      </c>
      <c r="U2" s="18" t="s">
        <v>38</v>
      </c>
      <c r="V2" s="18" t="s">
        <v>1247</v>
      </c>
      <c r="Y2" s="82" t="s">
        <v>1249</v>
      </c>
      <c r="Z2" s="20" t="s">
        <v>1246</v>
      </c>
      <c r="AA2" s="21" t="s">
        <v>1250</v>
      </c>
      <c r="AC2" s="22" t="s">
        <v>9</v>
      </c>
      <c r="AD2" s="21" t="s">
        <v>1250</v>
      </c>
      <c r="AF2" s="23" t="s">
        <v>10</v>
      </c>
      <c r="AG2" s="23" t="s">
        <v>1251</v>
      </c>
      <c r="AH2" s="24" t="s">
        <v>1252</v>
      </c>
      <c r="AJ2" s="23" t="s">
        <v>9</v>
      </c>
      <c r="AK2" s="23" t="s">
        <v>1253</v>
      </c>
      <c r="AL2" s="23" t="s">
        <v>1252</v>
      </c>
      <c r="AM2" s="25" t="s">
        <v>1254</v>
      </c>
      <c r="AO2" s="75"/>
      <c r="AP2" s="73" t="s">
        <v>1290</v>
      </c>
      <c r="AQ2" s="78"/>
      <c r="AR2" s="79"/>
    </row>
    <row r="3" spans="1:44" x14ac:dyDescent="0.25">
      <c r="A3" s="75" t="s">
        <v>102</v>
      </c>
      <c r="B3" s="85">
        <v>152</v>
      </c>
      <c r="D3" s="75" t="s">
        <v>102</v>
      </c>
      <c r="E3" s="85">
        <v>123513.15789473684</v>
      </c>
      <c r="G3" s="75" t="s">
        <v>789</v>
      </c>
      <c r="H3" s="85">
        <v>39000</v>
      </c>
      <c r="J3" s="75" t="s">
        <v>102</v>
      </c>
      <c r="K3" s="85">
        <v>154598.68421052632</v>
      </c>
      <c r="M3" s="75" t="s">
        <v>132</v>
      </c>
      <c r="N3" s="85">
        <v>101</v>
      </c>
      <c r="P3" s="26" t="s">
        <v>829</v>
      </c>
      <c r="Q3" s="27">
        <v>5</v>
      </c>
      <c r="R3" s="28">
        <v>130800</v>
      </c>
      <c r="S3" s="27">
        <v>1</v>
      </c>
      <c r="U3" s="26" t="s">
        <v>108</v>
      </c>
      <c r="V3" s="29">
        <v>115981.30841121495</v>
      </c>
      <c r="Y3" s="83"/>
      <c r="Z3" s="30" t="s">
        <v>829</v>
      </c>
      <c r="AA3" s="31">
        <v>4</v>
      </c>
      <c r="AC3" s="30" t="s">
        <v>64</v>
      </c>
      <c r="AD3" s="31">
        <v>4.757142857142858</v>
      </c>
      <c r="AF3" s="26" t="s">
        <v>111</v>
      </c>
      <c r="AG3" s="32">
        <v>176</v>
      </c>
      <c r="AH3" s="33">
        <v>112857.95454545454</v>
      </c>
      <c r="AI3" s="34"/>
      <c r="AJ3" s="26" t="s">
        <v>115</v>
      </c>
      <c r="AK3" s="27">
        <v>1</v>
      </c>
      <c r="AL3" s="35">
        <v>163500</v>
      </c>
      <c r="AM3" s="36">
        <f>AL3/$AL$63</f>
        <v>2.8139681699505419E-2</v>
      </c>
      <c r="AN3" s="34"/>
      <c r="AO3" s="73" t="s">
        <v>8</v>
      </c>
      <c r="AP3" s="75" t="s">
        <v>1255</v>
      </c>
      <c r="AQ3" s="80" t="s">
        <v>1242</v>
      </c>
      <c r="AR3" s="81" t="s">
        <v>1250</v>
      </c>
    </row>
    <row r="4" spans="1:44" x14ac:dyDescent="0.25">
      <c r="A4" s="76" t="s">
        <v>138</v>
      </c>
      <c r="B4" s="86">
        <v>103</v>
      </c>
      <c r="D4" s="76" t="s">
        <v>176</v>
      </c>
      <c r="E4" s="86">
        <v>116662.5</v>
      </c>
      <c r="G4" s="76" t="s">
        <v>439</v>
      </c>
      <c r="H4" s="86">
        <v>39250</v>
      </c>
      <c r="J4" s="76" t="s">
        <v>176</v>
      </c>
      <c r="K4" s="86">
        <v>144975</v>
      </c>
      <c r="M4" s="76" t="s">
        <v>1291</v>
      </c>
      <c r="N4" s="86">
        <v>8</v>
      </c>
      <c r="P4" s="26" t="s">
        <v>508</v>
      </c>
      <c r="Q4" s="27">
        <v>22</v>
      </c>
      <c r="R4" s="28">
        <v>126431.81818181818</v>
      </c>
      <c r="S4" s="27">
        <v>2</v>
      </c>
      <c r="U4" s="26" t="s">
        <v>51</v>
      </c>
      <c r="V4" s="29">
        <v>105634.92063492064</v>
      </c>
      <c r="Y4" s="83"/>
      <c r="Z4" s="30" t="s">
        <v>486</v>
      </c>
      <c r="AA4" s="31">
        <v>3.8624999999999998</v>
      </c>
      <c r="AC4" s="30" t="s">
        <v>451</v>
      </c>
      <c r="AD4" s="31">
        <v>4.5999999999999996</v>
      </c>
      <c r="AF4" s="26" t="s">
        <v>136</v>
      </c>
      <c r="AG4" s="32">
        <v>112</v>
      </c>
      <c r="AH4" s="33">
        <v>112120.53571428571</v>
      </c>
      <c r="AI4" s="34"/>
      <c r="AJ4" s="26" t="s">
        <v>143</v>
      </c>
      <c r="AK4" s="27">
        <v>1</v>
      </c>
      <c r="AL4" s="35">
        <v>146000</v>
      </c>
      <c r="AM4" s="36">
        <f t="shared" ref="AM4:AM62" si="0">AM3+AL4/$AL$63</f>
        <v>5.3267470862366523E-2</v>
      </c>
      <c r="AN4" s="34"/>
      <c r="AO4" s="75" t="s">
        <v>44</v>
      </c>
      <c r="AP4" s="88">
        <v>410</v>
      </c>
      <c r="AQ4" s="89">
        <v>102081.70731707317</v>
      </c>
      <c r="AR4" s="90">
        <v>3.6702439024390285</v>
      </c>
    </row>
    <row r="5" spans="1:44" x14ac:dyDescent="0.25">
      <c r="A5" s="76" t="s">
        <v>85</v>
      </c>
      <c r="B5" s="86">
        <v>72</v>
      </c>
      <c r="D5" s="76" t="s">
        <v>245</v>
      </c>
      <c r="E5" s="86">
        <v>110181.81818181818</v>
      </c>
      <c r="G5" s="76" t="s">
        <v>0</v>
      </c>
      <c r="H5" s="86">
        <v>39500</v>
      </c>
      <c r="J5" s="76" t="s">
        <v>138</v>
      </c>
      <c r="K5" s="86">
        <v>136300.9708737864</v>
      </c>
      <c r="M5" s="76" t="s">
        <v>146</v>
      </c>
      <c r="N5" s="86">
        <v>119</v>
      </c>
      <c r="P5" s="26" t="s">
        <v>49</v>
      </c>
      <c r="Q5" s="27">
        <v>313</v>
      </c>
      <c r="R5" s="28">
        <v>118293.92971246007</v>
      </c>
      <c r="S5" s="27">
        <v>3</v>
      </c>
      <c r="U5" s="26" t="s">
        <v>77</v>
      </c>
      <c r="V5" s="29">
        <v>94703.655352480419</v>
      </c>
      <c r="Y5" s="83"/>
      <c r="Z5" s="30" t="s">
        <v>386</v>
      </c>
      <c r="AA5" s="31">
        <v>3.84</v>
      </c>
      <c r="AC5" s="30" t="s">
        <v>477</v>
      </c>
      <c r="AD5" s="31">
        <v>4.45</v>
      </c>
      <c r="AF5" s="26" t="s">
        <v>65</v>
      </c>
      <c r="AG5" s="32">
        <v>96</v>
      </c>
      <c r="AH5" s="33">
        <v>97770.833333333328</v>
      </c>
      <c r="AI5" s="34"/>
      <c r="AJ5" s="26" t="s">
        <v>381</v>
      </c>
      <c r="AK5" s="27">
        <v>8</v>
      </c>
      <c r="AL5" s="35">
        <v>145125</v>
      </c>
      <c r="AM5" s="36">
        <f t="shared" si="0"/>
        <v>7.8244665398395419E-2</v>
      </c>
      <c r="AN5" s="34"/>
      <c r="AO5" s="76" t="s">
        <v>89</v>
      </c>
      <c r="AP5" s="91">
        <v>193</v>
      </c>
      <c r="AQ5" s="92">
        <v>111038.86010362694</v>
      </c>
      <c r="AR5" s="93">
        <v>3.6704663212435191</v>
      </c>
    </row>
    <row r="6" spans="1:44" x14ac:dyDescent="0.25">
      <c r="A6" s="76" t="s">
        <v>122</v>
      </c>
      <c r="B6" s="86">
        <v>41</v>
      </c>
      <c r="D6" s="76" t="s">
        <v>138</v>
      </c>
      <c r="E6" s="86">
        <v>107495.14563106796</v>
      </c>
      <c r="G6" s="76" t="s">
        <v>375</v>
      </c>
      <c r="H6" s="86">
        <v>40250</v>
      </c>
      <c r="J6" s="76" t="s">
        <v>145</v>
      </c>
      <c r="K6" s="86">
        <v>132294.11764705883</v>
      </c>
      <c r="M6" s="76" t="s">
        <v>386</v>
      </c>
      <c r="N6" s="86">
        <v>5</v>
      </c>
      <c r="P6" s="26" t="s">
        <v>146</v>
      </c>
      <c r="Q6" s="27">
        <v>119</v>
      </c>
      <c r="R6" s="28">
        <v>105403.36134453781</v>
      </c>
      <c r="S6" s="27">
        <v>4</v>
      </c>
      <c r="U6" s="37" t="s">
        <v>1256</v>
      </c>
      <c r="V6" s="38">
        <f>SUM(V3:V5)</f>
        <v>316319.88439861604</v>
      </c>
      <c r="Y6" s="83"/>
      <c r="Z6" s="30" t="s">
        <v>146</v>
      </c>
      <c r="AA6" s="31">
        <v>3.7882352941176438</v>
      </c>
      <c r="AC6" s="30" t="s">
        <v>291</v>
      </c>
      <c r="AD6" s="31">
        <v>4.4000000000000004</v>
      </c>
      <c r="AF6" s="26" t="s">
        <v>162</v>
      </c>
      <c r="AG6" s="32">
        <v>69</v>
      </c>
      <c r="AH6" s="33">
        <v>105942.02898550725</v>
      </c>
      <c r="AI6" s="34"/>
      <c r="AJ6" s="26" t="s">
        <v>1041</v>
      </c>
      <c r="AK6" s="27">
        <v>1</v>
      </c>
      <c r="AL6" s="35">
        <v>139500</v>
      </c>
      <c r="AM6" s="36">
        <f t="shared" si="0"/>
        <v>0.10225375161907435</v>
      </c>
      <c r="AN6" s="34"/>
      <c r="AO6" s="76" t="s">
        <v>160</v>
      </c>
      <c r="AP6" s="91">
        <v>55</v>
      </c>
      <c r="AQ6" s="92">
        <v>73190.909090909088</v>
      </c>
      <c r="AR6" s="93">
        <v>3.5890909090909076</v>
      </c>
    </row>
    <row r="7" spans="1:44" x14ac:dyDescent="0.25">
      <c r="A7" s="76" t="s">
        <v>176</v>
      </c>
      <c r="B7" s="86">
        <v>40</v>
      </c>
      <c r="D7" s="76" t="s">
        <v>145</v>
      </c>
      <c r="E7" s="86">
        <v>104558.82352941176</v>
      </c>
      <c r="G7" s="76" t="s">
        <v>274</v>
      </c>
      <c r="H7" s="86">
        <v>40875</v>
      </c>
      <c r="J7" s="76" t="s">
        <v>245</v>
      </c>
      <c r="K7" s="86">
        <v>131727.27272727274</v>
      </c>
      <c r="M7" s="76" t="s">
        <v>49</v>
      </c>
      <c r="N7" s="86">
        <v>313</v>
      </c>
      <c r="P7" s="26" t="s">
        <v>107</v>
      </c>
      <c r="Q7" s="27">
        <v>153</v>
      </c>
      <c r="R7" s="28">
        <v>88277.777777777781</v>
      </c>
      <c r="S7" s="27">
        <v>5</v>
      </c>
      <c r="Y7" s="83"/>
      <c r="Z7" s="30" t="s">
        <v>327</v>
      </c>
      <c r="AA7" s="31">
        <v>3.7624999999999997</v>
      </c>
      <c r="AC7" s="30" t="s">
        <v>699</v>
      </c>
      <c r="AD7" s="31">
        <v>4.3</v>
      </c>
      <c r="AF7" s="26" t="s">
        <v>59</v>
      </c>
      <c r="AG7" s="32">
        <v>49</v>
      </c>
      <c r="AH7" s="33">
        <v>77061.224489795917</v>
      </c>
      <c r="AI7" s="34"/>
      <c r="AJ7" s="26" t="s">
        <v>206</v>
      </c>
      <c r="AK7" s="27">
        <v>4</v>
      </c>
      <c r="AL7" s="35">
        <v>131500</v>
      </c>
      <c r="AM7" s="36">
        <f t="shared" si="0"/>
        <v>0.12488597268014445</v>
      </c>
      <c r="AN7" s="34"/>
      <c r="AO7" s="76" t="s">
        <v>142</v>
      </c>
      <c r="AP7" s="91">
        <v>34</v>
      </c>
      <c r="AQ7" s="92">
        <v>110573.5294117647</v>
      </c>
      <c r="AR7" s="93">
        <v>3.6441176470588239</v>
      </c>
    </row>
    <row r="8" spans="1:44" x14ac:dyDescent="0.25">
      <c r="A8" s="76" t="s">
        <v>61</v>
      </c>
      <c r="B8" s="86">
        <v>35</v>
      </c>
      <c r="D8" s="76" t="s">
        <v>200</v>
      </c>
      <c r="E8" s="86">
        <v>100250</v>
      </c>
      <c r="G8" s="76" t="s">
        <v>601</v>
      </c>
      <c r="H8" s="86">
        <v>43000</v>
      </c>
      <c r="J8" s="76" t="s">
        <v>423</v>
      </c>
      <c r="K8" s="86">
        <v>127857.14285714286</v>
      </c>
      <c r="M8" s="76" t="s">
        <v>486</v>
      </c>
      <c r="N8" s="86">
        <v>16</v>
      </c>
      <c r="P8" s="26" t="s">
        <v>386</v>
      </c>
      <c r="Q8" s="27">
        <v>5</v>
      </c>
      <c r="R8" s="28">
        <v>77500</v>
      </c>
      <c r="S8" s="27">
        <v>6</v>
      </c>
      <c r="Y8" s="83"/>
      <c r="Z8" s="30" t="s">
        <v>49</v>
      </c>
      <c r="AA8" s="31">
        <v>3.7603833865814704</v>
      </c>
      <c r="AC8" s="30" t="s">
        <v>414</v>
      </c>
      <c r="AD8" s="31">
        <v>4.2333333333333334</v>
      </c>
      <c r="AF8" s="26" t="s">
        <v>96</v>
      </c>
      <c r="AG8" s="32">
        <v>42</v>
      </c>
      <c r="AH8" s="33">
        <v>98035.71428571429</v>
      </c>
      <c r="AI8" s="34"/>
      <c r="AJ8" s="26" t="s">
        <v>493</v>
      </c>
      <c r="AK8" s="27">
        <v>2</v>
      </c>
      <c r="AL8" s="35">
        <v>129000</v>
      </c>
      <c r="AM8" s="36">
        <f t="shared" si="0"/>
        <v>0.1470879233788368</v>
      </c>
      <c r="AN8" s="34"/>
      <c r="AO8" s="76" t="s">
        <v>71</v>
      </c>
      <c r="AP8" s="91">
        <v>15</v>
      </c>
      <c r="AQ8" s="92">
        <v>85733.333333333328</v>
      </c>
      <c r="AR8" s="93">
        <v>3.6266666666666656</v>
      </c>
    </row>
    <row r="9" spans="1:44" x14ac:dyDescent="0.25">
      <c r="A9" s="76" t="s">
        <v>305</v>
      </c>
      <c r="B9" s="86">
        <v>33</v>
      </c>
      <c r="D9" s="76" t="s">
        <v>737</v>
      </c>
      <c r="E9" s="86">
        <v>100000</v>
      </c>
      <c r="G9" s="76" t="s">
        <v>403</v>
      </c>
      <c r="H9" s="86">
        <v>54400</v>
      </c>
      <c r="J9" s="76" t="s">
        <v>181</v>
      </c>
      <c r="K9" s="86">
        <v>127666.66666666667</v>
      </c>
      <c r="M9" s="76" t="s">
        <v>829</v>
      </c>
      <c r="N9" s="86">
        <v>5</v>
      </c>
      <c r="P9" s="26" t="s">
        <v>486</v>
      </c>
      <c r="Q9" s="27">
        <v>16</v>
      </c>
      <c r="R9" s="28">
        <v>73218.75</v>
      </c>
      <c r="S9" s="27">
        <v>7</v>
      </c>
      <c r="Y9" s="83"/>
      <c r="Z9" s="30" t="s">
        <v>132</v>
      </c>
      <c r="AA9" s="31">
        <v>3.6217821782178214</v>
      </c>
      <c r="AC9" s="30" t="s">
        <v>523</v>
      </c>
      <c r="AD9" s="31">
        <v>4.2</v>
      </c>
      <c r="AF9" s="26" t="s">
        <v>427</v>
      </c>
      <c r="AG9" s="32">
        <v>32</v>
      </c>
      <c r="AH9" s="33">
        <v>84187.5</v>
      </c>
      <c r="AI9" s="34"/>
      <c r="AJ9" s="26" t="s">
        <v>775</v>
      </c>
      <c r="AK9" s="27">
        <v>1</v>
      </c>
      <c r="AL9" s="35">
        <v>128000</v>
      </c>
      <c r="AM9" s="36">
        <f t="shared" si="0"/>
        <v>0.16911776593257805</v>
      </c>
      <c r="AN9" s="34"/>
      <c r="AO9" s="76" t="s">
        <v>106</v>
      </c>
      <c r="AP9" s="91">
        <v>15</v>
      </c>
      <c r="AQ9" s="92">
        <v>66833.333333333328</v>
      </c>
      <c r="AR9" s="93">
        <v>3.54</v>
      </c>
    </row>
    <row r="10" spans="1:44" x14ac:dyDescent="0.25">
      <c r="A10" s="76" t="s">
        <v>93</v>
      </c>
      <c r="B10" s="86">
        <v>28</v>
      </c>
      <c r="D10" s="76" t="s">
        <v>85</v>
      </c>
      <c r="E10" s="86">
        <v>98652.777777777781</v>
      </c>
      <c r="G10" s="76" t="s">
        <v>48</v>
      </c>
      <c r="H10" s="86">
        <v>55000</v>
      </c>
      <c r="J10" s="76" t="s">
        <v>61</v>
      </c>
      <c r="K10" s="86">
        <v>126400</v>
      </c>
      <c r="M10" s="76" t="s">
        <v>508</v>
      </c>
      <c r="N10" s="86">
        <v>22</v>
      </c>
      <c r="P10" s="26" t="s">
        <v>327</v>
      </c>
      <c r="Q10" s="27">
        <v>8</v>
      </c>
      <c r="R10" s="28">
        <v>69250</v>
      </c>
      <c r="S10" s="27">
        <v>8</v>
      </c>
      <c r="Y10" s="83"/>
      <c r="Z10" s="30" t="s">
        <v>508</v>
      </c>
      <c r="AA10" s="31">
        <v>3.3863636363636362</v>
      </c>
      <c r="AC10" s="30" t="s">
        <v>216</v>
      </c>
      <c r="AD10" s="31">
        <v>4.0525423728813568</v>
      </c>
      <c r="AF10" s="26" t="s">
        <v>45</v>
      </c>
      <c r="AG10" s="32">
        <v>24</v>
      </c>
      <c r="AH10" s="33">
        <v>99583.333333333328</v>
      </c>
      <c r="AI10" s="34"/>
      <c r="AJ10" s="26" t="s">
        <v>110</v>
      </c>
      <c r="AK10" s="27">
        <v>29</v>
      </c>
      <c r="AL10" s="35">
        <v>123810.3448275862</v>
      </c>
      <c r="AM10" s="36">
        <f t="shared" si="0"/>
        <v>0.19042653470661036</v>
      </c>
      <c r="AN10" s="34"/>
      <c r="AO10" s="76" t="s">
        <v>531</v>
      </c>
      <c r="AP10" s="91">
        <v>13</v>
      </c>
      <c r="AQ10" s="92">
        <v>107615.38461538461</v>
      </c>
      <c r="AR10" s="93">
        <v>2.7692307692307696</v>
      </c>
    </row>
    <row r="11" spans="1:44" x14ac:dyDescent="0.25">
      <c r="A11" s="76" t="s">
        <v>76</v>
      </c>
      <c r="B11" s="86">
        <v>21</v>
      </c>
      <c r="D11" s="76" t="s">
        <v>423</v>
      </c>
      <c r="E11" s="86">
        <v>98452.380952380947</v>
      </c>
      <c r="G11" s="76" t="s">
        <v>310</v>
      </c>
      <c r="H11" s="86">
        <v>55666.666666666664</v>
      </c>
      <c r="J11" s="76" t="s">
        <v>737</v>
      </c>
      <c r="K11" s="86">
        <v>126000</v>
      </c>
      <c r="M11" s="76" t="s">
        <v>107</v>
      </c>
      <c r="N11" s="86">
        <v>153</v>
      </c>
      <c r="P11" s="26" t="s">
        <v>132</v>
      </c>
      <c r="Q11" s="27">
        <v>101</v>
      </c>
      <c r="R11" s="28">
        <v>66113.861386138611</v>
      </c>
      <c r="S11" s="27">
        <v>9</v>
      </c>
      <c r="Y11" s="83"/>
      <c r="Z11" s="30" t="s">
        <v>107</v>
      </c>
      <c r="AA11" s="31">
        <v>3.2483660130718954</v>
      </c>
      <c r="AC11" s="30" t="s">
        <v>174</v>
      </c>
      <c r="AD11" s="31">
        <v>4.05</v>
      </c>
      <c r="AF11" s="26" t="s">
        <v>415</v>
      </c>
      <c r="AG11" s="32">
        <v>23</v>
      </c>
      <c r="AH11" s="33">
        <v>100739.13043478261</v>
      </c>
      <c r="AI11" s="34"/>
      <c r="AJ11" s="26" t="s">
        <v>577</v>
      </c>
      <c r="AK11" s="27">
        <v>5</v>
      </c>
      <c r="AL11" s="35">
        <v>118400</v>
      </c>
      <c r="AM11" s="36">
        <f t="shared" si="0"/>
        <v>0.21080413906882101</v>
      </c>
      <c r="AN11" s="34"/>
      <c r="AO11" s="76" t="s">
        <v>57</v>
      </c>
      <c r="AP11" s="91">
        <v>5</v>
      </c>
      <c r="AQ11" s="92">
        <v>77900</v>
      </c>
      <c r="AR11" s="93">
        <v>2.3199999999999998</v>
      </c>
    </row>
    <row r="12" spans="1:44" x14ac:dyDescent="0.25">
      <c r="A12" s="76" t="s">
        <v>423</v>
      </c>
      <c r="B12" s="86">
        <v>21</v>
      </c>
      <c r="D12" s="76" t="s">
        <v>61</v>
      </c>
      <c r="E12" s="86">
        <v>97357.142857142855</v>
      </c>
      <c r="G12" s="76" t="s">
        <v>766</v>
      </c>
      <c r="H12" s="86">
        <v>56400</v>
      </c>
      <c r="J12" s="76" t="s">
        <v>85</v>
      </c>
      <c r="K12" s="86">
        <v>125180.55555555556</v>
      </c>
      <c r="M12" s="77" t="s">
        <v>1256</v>
      </c>
      <c r="N12" s="87">
        <v>742</v>
      </c>
      <c r="P12" s="37" t="s">
        <v>1256</v>
      </c>
      <c r="Q12" s="39">
        <v>742</v>
      </c>
      <c r="R12" s="38">
        <f>SUM(R3:R11)</f>
        <v>855289.49840273242</v>
      </c>
      <c r="S12" s="6"/>
      <c r="Y12" s="83"/>
      <c r="Z12" s="40"/>
      <c r="AA12" s="41"/>
      <c r="AC12" s="30" t="s">
        <v>100</v>
      </c>
      <c r="AD12" s="31">
        <v>4.0413793103448281</v>
      </c>
      <c r="AF12" s="26" t="s">
        <v>47</v>
      </c>
      <c r="AG12" s="32">
        <v>19</v>
      </c>
      <c r="AH12" s="33">
        <v>112052.63157894737</v>
      </c>
      <c r="AI12" s="34"/>
      <c r="AJ12" s="26" t="s">
        <v>470</v>
      </c>
      <c r="AK12" s="27">
        <v>2</v>
      </c>
      <c r="AL12" s="35">
        <v>117750</v>
      </c>
      <c r="AM12" s="36">
        <f t="shared" si="0"/>
        <v>0.23106987313681343</v>
      </c>
      <c r="AN12" s="34"/>
      <c r="AO12" s="76" t="s">
        <v>1064</v>
      </c>
      <c r="AP12" s="91">
        <v>2</v>
      </c>
      <c r="AQ12" s="92">
        <v>77750</v>
      </c>
      <c r="AR12" s="93">
        <v>3.3</v>
      </c>
    </row>
    <row r="13" spans="1:44" x14ac:dyDescent="0.25">
      <c r="A13" s="76" t="s">
        <v>145</v>
      </c>
      <c r="B13" s="86">
        <v>17</v>
      </c>
      <c r="D13" s="76" t="s">
        <v>181</v>
      </c>
      <c r="E13" s="86">
        <v>97000</v>
      </c>
      <c r="G13" s="76" t="s">
        <v>197</v>
      </c>
      <c r="H13" s="86">
        <v>57600</v>
      </c>
      <c r="J13" s="76" t="s">
        <v>200</v>
      </c>
      <c r="K13" s="86">
        <v>123500</v>
      </c>
      <c r="Y13" s="83"/>
      <c r="AC13" s="30" t="s">
        <v>613</v>
      </c>
      <c r="AD13" s="31">
        <v>4.0249999999999995</v>
      </c>
      <c r="AF13" s="26" t="s">
        <v>116</v>
      </c>
      <c r="AG13" s="32">
        <v>15</v>
      </c>
      <c r="AH13" s="33">
        <v>99666.666666666672</v>
      </c>
      <c r="AI13" s="34"/>
      <c r="AJ13" s="26" t="s">
        <v>155</v>
      </c>
      <c r="AK13" s="27">
        <v>39</v>
      </c>
      <c r="AL13" s="35">
        <v>115858.97435897436</v>
      </c>
      <c r="AM13" s="36">
        <f t="shared" si="0"/>
        <v>0.251010146289674</v>
      </c>
      <c r="AN13" s="34"/>
      <c r="AO13" s="77" t="s">
        <v>1256</v>
      </c>
      <c r="AP13" s="94">
        <v>742</v>
      </c>
      <c r="AQ13" s="95">
        <v>101484.50134770889</v>
      </c>
      <c r="AR13" s="96">
        <v>3.6336927223719724</v>
      </c>
    </row>
    <row r="14" spans="1:44" x14ac:dyDescent="0.25">
      <c r="A14" s="76" t="s">
        <v>67</v>
      </c>
      <c r="B14" s="86">
        <v>16</v>
      </c>
      <c r="D14" s="76" t="s">
        <v>122</v>
      </c>
      <c r="E14" s="86">
        <v>95621.951219512193</v>
      </c>
      <c r="G14" s="76" t="s">
        <v>288</v>
      </c>
      <c r="H14" s="86">
        <v>59666.666666666664</v>
      </c>
      <c r="J14" s="76" t="s">
        <v>122</v>
      </c>
      <c r="K14" s="86">
        <v>121219.51219512195</v>
      </c>
      <c r="M14" s="14" t="s">
        <v>1257</v>
      </c>
      <c r="Y14" s="84"/>
      <c r="AC14" s="30" t="s">
        <v>1022</v>
      </c>
      <c r="AD14" s="31">
        <v>4</v>
      </c>
      <c r="AF14" s="26" t="s">
        <v>73</v>
      </c>
      <c r="AG14" s="32">
        <v>14</v>
      </c>
      <c r="AH14" s="33">
        <v>80464.28571428571</v>
      </c>
      <c r="AI14" s="34"/>
      <c r="AJ14" s="26" t="s">
        <v>216</v>
      </c>
      <c r="AK14" s="27">
        <v>59</v>
      </c>
      <c r="AL14" s="35">
        <v>115194.91525423729</v>
      </c>
      <c r="AM14" s="36">
        <f t="shared" si="0"/>
        <v>0.27083612946188035</v>
      </c>
      <c r="AN14" s="34"/>
    </row>
    <row r="15" spans="1:44" x14ac:dyDescent="0.25">
      <c r="A15" s="76" t="s">
        <v>258</v>
      </c>
      <c r="B15" s="86">
        <v>14</v>
      </c>
      <c r="D15" s="76" t="s">
        <v>525</v>
      </c>
      <c r="E15" s="86">
        <v>94150</v>
      </c>
      <c r="G15" s="76" t="s">
        <v>458</v>
      </c>
      <c r="H15" s="86">
        <v>60000</v>
      </c>
      <c r="J15" s="76" t="s">
        <v>305</v>
      </c>
      <c r="K15" s="86">
        <v>120636.36363636363</v>
      </c>
      <c r="Y15" s="42"/>
      <c r="AC15" s="30" t="s">
        <v>45</v>
      </c>
      <c r="AD15" s="31">
        <v>3.9916666666666676</v>
      </c>
      <c r="AF15" s="26" t="s">
        <v>71</v>
      </c>
      <c r="AG15" s="32">
        <v>11</v>
      </c>
      <c r="AH15" s="33">
        <v>80500</v>
      </c>
      <c r="AI15" s="34"/>
      <c r="AJ15" s="26" t="s">
        <v>1022</v>
      </c>
      <c r="AK15" s="27">
        <v>1</v>
      </c>
      <c r="AL15" s="35">
        <v>113500</v>
      </c>
      <c r="AM15" s="36">
        <f t="shared" si="0"/>
        <v>0.29037040391383062</v>
      </c>
      <c r="AN15" s="34"/>
    </row>
    <row r="16" spans="1:44" x14ac:dyDescent="0.25">
      <c r="A16" s="76" t="s">
        <v>542</v>
      </c>
      <c r="B16" s="86">
        <v>13</v>
      </c>
      <c r="D16" s="76" t="s">
        <v>305</v>
      </c>
      <c r="E16" s="86">
        <v>93863.636363636368</v>
      </c>
      <c r="G16" s="76" t="s">
        <v>67</v>
      </c>
      <c r="H16" s="86">
        <v>60375</v>
      </c>
      <c r="J16" s="76" t="s">
        <v>525</v>
      </c>
      <c r="K16" s="86">
        <v>119600</v>
      </c>
      <c r="P16" s="14" t="s">
        <v>1258</v>
      </c>
      <c r="Q16" s="6"/>
      <c r="R16" s="6"/>
      <c r="S16" s="6"/>
      <c r="Y16" s="42"/>
      <c r="AC16" s="30" t="s">
        <v>110</v>
      </c>
      <c r="AD16" s="31">
        <v>3.9896551724137947</v>
      </c>
      <c r="AF16" s="26" t="s">
        <v>524</v>
      </c>
      <c r="AG16" s="32">
        <v>9</v>
      </c>
      <c r="AH16" s="33">
        <v>68611.111111111109</v>
      </c>
      <c r="AI16" s="34"/>
      <c r="AJ16" s="26" t="s">
        <v>136</v>
      </c>
      <c r="AK16" s="27">
        <v>112</v>
      </c>
      <c r="AL16" s="35">
        <v>112120.53571428571</v>
      </c>
      <c r="AM16" s="36">
        <f t="shared" si="0"/>
        <v>0.30966726132654027</v>
      </c>
      <c r="AN16" s="34"/>
    </row>
    <row r="17" spans="1:40" x14ac:dyDescent="0.25">
      <c r="A17" s="76" t="s">
        <v>245</v>
      </c>
      <c r="B17" s="86">
        <v>11</v>
      </c>
      <c r="D17" s="76" t="s">
        <v>76</v>
      </c>
      <c r="E17" s="86">
        <v>93190.476190476184</v>
      </c>
      <c r="G17" s="76" t="s">
        <v>849</v>
      </c>
      <c r="H17" s="86">
        <v>61000</v>
      </c>
      <c r="J17" s="76" t="s">
        <v>93</v>
      </c>
      <c r="K17" s="86">
        <v>117000</v>
      </c>
      <c r="P17" s="43" t="s">
        <v>9</v>
      </c>
      <c r="Q17" s="43" t="s">
        <v>39</v>
      </c>
      <c r="R17" s="43" t="s">
        <v>1259</v>
      </c>
      <c r="S17" s="43" t="s">
        <v>1256</v>
      </c>
      <c r="Y17" s="42"/>
      <c r="AC17" s="30" t="s">
        <v>155</v>
      </c>
      <c r="AD17" s="31">
        <v>3.9487179487179493</v>
      </c>
      <c r="AF17" s="26" t="s">
        <v>175</v>
      </c>
      <c r="AG17" s="32">
        <v>8</v>
      </c>
      <c r="AH17" s="33">
        <v>99312.5</v>
      </c>
      <c r="AI17" s="34"/>
      <c r="AJ17" s="26" t="s">
        <v>47</v>
      </c>
      <c r="AK17" s="27">
        <v>19</v>
      </c>
      <c r="AL17" s="35">
        <v>112052.63157894737</v>
      </c>
      <c r="AM17" s="36">
        <f t="shared" si="0"/>
        <v>0.32895243188448231</v>
      </c>
      <c r="AN17" s="34"/>
    </row>
    <row r="18" spans="1:40" x14ac:dyDescent="0.25">
      <c r="A18" s="76" t="s">
        <v>163</v>
      </c>
      <c r="B18" s="86">
        <v>11</v>
      </c>
      <c r="D18" s="76" t="s">
        <v>93</v>
      </c>
      <c r="E18" s="86">
        <v>92678.571428571435</v>
      </c>
      <c r="G18" s="76" t="s">
        <v>258</v>
      </c>
      <c r="H18" s="86">
        <v>62857.142857142855</v>
      </c>
      <c r="J18" s="76" t="s">
        <v>326</v>
      </c>
      <c r="K18" s="86">
        <v>116600</v>
      </c>
      <c r="P18" s="26" t="s">
        <v>136</v>
      </c>
      <c r="Q18" s="27">
        <v>38</v>
      </c>
      <c r="R18" s="27">
        <v>1</v>
      </c>
      <c r="S18" s="27">
        <v>39</v>
      </c>
      <c r="Y18" s="42"/>
      <c r="AC18" s="30" t="s">
        <v>1088</v>
      </c>
      <c r="AD18" s="31">
        <v>3.9333333333333336</v>
      </c>
      <c r="AF18" s="26" t="s">
        <v>518</v>
      </c>
      <c r="AG18" s="32">
        <v>8</v>
      </c>
      <c r="AH18" s="33">
        <v>69500</v>
      </c>
      <c r="AI18" s="34"/>
      <c r="AJ18" s="26" t="s">
        <v>168</v>
      </c>
      <c r="AK18" s="27">
        <v>6</v>
      </c>
      <c r="AL18" s="35">
        <v>109250</v>
      </c>
      <c r="AM18" s="36">
        <f t="shared" si="0"/>
        <v>0.34775524672039038</v>
      </c>
      <c r="AN18" s="34"/>
    </row>
    <row r="19" spans="1:40" x14ac:dyDescent="0.25">
      <c r="A19" s="76" t="s">
        <v>525</v>
      </c>
      <c r="B19" s="86">
        <v>10</v>
      </c>
      <c r="D19" s="76" t="s">
        <v>190</v>
      </c>
      <c r="E19" s="86">
        <v>92125</v>
      </c>
      <c r="G19" s="76" t="s">
        <v>542</v>
      </c>
      <c r="H19" s="86">
        <v>63153.846153846156</v>
      </c>
      <c r="J19" s="76" t="s">
        <v>190</v>
      </c>
      <c r="K19" s="86">
        <v>116000</v>
      </c>
      <c r="P19" s="26" t="s">
        <v>161</v>
      </c>
      <c r="Q19" s="27">
        <v>28</v>
      </c>
      <c r="R19" s="27">
        <v>2</v>
      </c>
      <c r="S19" s="27">
        <v>30</v>
      </c>
      <c r="Y19" s="42"/>
      <c r="AC19" s="30" t="s">
        <v>381</v>
      </c>
      <c r="AD19" s="31">
        <v>3.8999999999999995</v>
      </c>
      <c r="AF19" s="26" t="s">
        <v>90</v>
      </c>
      <c r="AG19" s="32">
        <v>7</v>
      </c>
      <c r="AH19" s="33">
        <v>101142.85714285714</v>
      </c>
      <c r="AI19" s="34"/>
      <c r="AJ19" s="26" t="s">
        <v>779</v>
      </c>
      <c r="AK19" s="27">
        <v>4</v>
      </c>
      <c r="AL19" s="35">
        <v>108875</v>
      </c>
      <c r="AM19" s="36">
        <f t="shared" si="0"/>
        <v>0.36649352100194177</v>
      </c>
      <c r="AN19" s="34"/>
    </row>
    <row r="20" spans="1:40" x14ac:dyDescent="0.25">
      <c r="A20" s="76" t="s">
        <v>326</v>
      </c>
      <c r="B20" s="86">
        <v>10</v>
      </c>
      <c r="D20" s="76" t="s">
        <v>326</v>
      </c>
      <c r="E20" s="86">
        <v>90300</v>
      </c>
      <c r="G20" s="76" t="s">
        <v>326</v>
      </c>
      <c r="H20" s="86">
        <v>64000</v>
      </c>
      <c r="J20" s="76" t="s">
        <v>542</v>
      </c>
      <c r="K20" s="86">
        <v>115384.61538461539</v>
      </c>
      <c r="P20" s="26" t="s">
        <v>216</v>
      </c>
      <c r="Q20" s="27">
        <v>27</v>
      </c>
      <c r="R20" s="27">
        <v>3</v>
      </c>
      <c r="S20" s="27">
        <v>30</v>
      </c>
      <c r="Y20" s="42"/>
      <c r="AC20" s="30" t="s">
        <v>90</v>
      </c>
      <c r="AD20" s="31">
        <v>3.842857142857143</v>
      </c>
      <c r="AF20" s="26" t="s">
        <v>144</v>
      </c>
      <c r="AG20" s="32">
        <v>6</v>
      </c>
      <c r="AH20" s="33">
        <v>116666.66666666667</v>
      </c>
      <c r="AI20" s="34"/>
      <c r="AJ20" s="26" t="s">
        <v>100</v>
      </c>
      <c r="AK20" s="27">
        <v>29</v>
      </c>
      <c r="AL20" s="35">
        <v>108689.6551724138</v>
      </c>
      <c r="AM20" s="36">
        <f t="shared" si="0"/>
        <v>0.38519989592904103</v>
      </c>
      <c r="AN20" s="34"/>
    </row>
    <row r="21" spans="1:40" ht="15.75" customHeight="1" x14ac:dyDescent="0.25">
      <c r="A21" s="76" t="s">
        <v>403</v>
      </c>
      <c r="B21" s="86">
        <v>10</v>
      </c>
      <c r="D21" s="76" t="s">
        <v>542</v>
      </c>
      <c r="E21" s="86">
        <v>89269.230769230766</v>
      </c>
      <c r="G21" s="76" t="s">
        <v>163</v>
      </c>
      <c r="H21" s="86">
        <v>64272.727272727272</v>
      </c>
      <c r="J21" s="76" t="s">
        <v>76</v>
      </c>
      <c r="K21" s="86">
        <v>115333.33333333333</v>
      </c>
      <c r="P21" s="26" t="s">
        <v>155</v>
      </c>
      <c r="Q21" s="27">
        <v>25</v>
      </c>
      <c r="R21" s="27"/>
      <c r="S21" s="27">
        <v>25</v>
      </c>
      <c r="Y21" s="42"/>
      <c r="AC21" s="30" t="s">
        <v>72</v>
      </c>
      <c r="AD21" s="31">
        <v>3.8428571428571421</v>
      </c>
      <c r="AF21" s="26" t="s">
        <v>207</v>
      </c>
      <c r="AG21" s="32">
        <v>6</v>
      </c>
      <c r="AH21" s="33">
        <v>102333.33333333333</v>
      </c>
      <c r="AI21" s="34"/>
      <c r="AJ21" s="26" t="s">
        <v>676</v>
      </c>
      <c r="AK21" s="27">
        <v>3</v>
      </c>
      <c r="AL21" s="35">
        <v>107500</v>
      </c>
      <c r="AM21" s="36">
        <f t="shared" si="0"/>
        <v>0.40370152151128463</v>
      </c>
      <c r="AN21" s="34"/>
    </row>
    <row r="22" spans="1:40" ht="15.75" customHeight="1" x14ac:dyDescent="0.25">
      <c r="A22" s="76" t="s">
        <v>436</v>
      </c>
      <c r="B22" s="86">
        <v>9</v>
      </c>
      <c r="D22" s="76" t="s">
        <v>258</v>
      </c>
      <c r="E22" s="86">
        <v>87571.428571428565</v>
      </c>
      <c r="G22" s="76" t="s">
        <v>436</v>
      </c>
      <c r="H22" s="86">
        <v>65777.777777777781</v>
      </c>
      <c r="J22" s="76" t="s">
        <v>849</v>
      </c>
      <c r="K22" s="86">
        <v>113000</v>
      </c>
      <c r="P22" s="26" t="s">
        <v>213</v>
      </c>
      <c r="Q22" s="27">
        <v>23</v>
      </c>
      <c r="R22" s="27"/>
      <c r="S22" s="27">
        <v>23</v>
      </c>
      <c r="Y22" s="42"/>
      <c r="AC22" s="30" t="s">
        <v>206</v>
      </c>
      <c r="AD22" s="31">
        <v>3.8</v>
      </c>
      <c r="AF22" s="26" t="s">
        <v>1042</v>
      </c>
      <c r="AG22" s="32">
        <v>4</v>
      </c>
      <c r="AH22" s="33">
        <v>99875</v>
      </c>
      <c r="AI22" s="34"/>
      <c r="AJ22" s="26" t="s">
        <v>291</v>
      </c>
      <c r="AK22" s="27">
        <v>2</v>
      </c>
      <c r="AL22" s="35">
        <v>107000</v>
      </c>
      <c r="AM22" s="36">
        <f t="shared" si="0"/>
        <v>0.42211709302105271</v>
      </c>
      <c r="AN22" s="34"/>
    </row>
    <row r="23" spans="1:40" ht="15.75" customHeight="1" x14ac:dyDescent="0.25">
      <c r="A23" s="76" t="s">
        <v>288</v>
      </c>
      <c r="B23" s="86">
        <v>9</v>
      </c>
      <c r="D23" s="76" t="s">
        <v>849</v>
      </c>
      <c r="E23" s="86">
        <v>87000</v>
      </c>
      <c r="G23" s="76" t="s">
        <v>181</v>
      </c>
      <c r="H23" s="86">
        <v>66333.333333333328</v>
      </c>
      <c r="J23" s="76" t="s">
        <v>258</v>
      </c>
      <c r="K23" s="86">
        <v>112285.71428571429</v>
      </c>
      <c r="Y23" s="42"/>
      <c r="AC23" s="30" t="s">
        <v>303</v>
      </c>
      <c r="AD23" s="31">
        <v>3.8</v>
      </c>
      <c r="AF23" s="26" t="s">
        <v>648</v>
      </c>
      <c r="AG23" s="32">
        <v>4</v>
      </c>
      <c r="AH23" s="33">
        <v>48500</v>
      </c>
      <c r="AI23" s="34"/>
      <c r="AJ23" s="26" t="s">
        <v>317</v>
      </c>
      <c r="AK23" s="27">
        <v>10</v>
      </c>
      <c r="AL23" s="35">
        <v>106200</v>
      </c>
      <c r="AM23" s="36">
        <f t="shared" si="0"/>
        <v>0.44039497801485988</v>
      </c>
      <c r="AN23" s="34"/>
    </row>
    <row r="24" spans="1:40" ht="15.75" customHeight="1" x14ac:dyDescent="0.25">
      <c r="A24" s="76" t="s">
        <v>274</v>
      </c>
      <c r="B24" s="86">
        <v>8</v>
      </c>
      <c r="D24" s="76" t="s">
        <v>163</v>
      </c>
      <c r="E24" s="86">
        <v>86181.818181818177</v>
      </c>
      <c r="G24" s="76" t="s">
        <v>305</v>
      </c>
      <c r="H24" s="86">
        <v>67090.909090909088</v>
      </c>
      <c r="J24" s="76" t="s">
        <v>458</v>
      </c>
      <c r="K24" s="86">
        <v>111000</v>
      </c>
      <c r="Y24" s="42"/>
      <c r="AC24" s="30" t="s">
        <v>121</v>
      </c>
      <c r="AD24" s="31">
        <v>3.7894736842105257</v>
      </c>
      <c r="AF24" s="26" t="s">
        <v>292</v>
      </c>
      <c r="AG24" s="32">
        <v>3</v>
      </c>
      <c r="AH24" s="33">
        <v>104000</v>
      </c>
      <c r="AI24" s="34"/>
      <c r="AJ24" s="26" t="s">
        <v>693</v>
      </c>
      <c r="AK24" s="27">
        <v>3</v>
      </c>
      <c r="AL24" s="35">
        <v>106166.66666666667</v>
      </c>
      <c r="AM24" s="36">
        <f t="shared" si="0"/>
        <v>0.45866712607050203</v>
      </c>
      <c r="AN24" s="34"/>
    </row>
    <row r="25" spans="1:40" ht="15.75" customHeight="1" x14ac:dyDescent="0.25">
      <c r="A25" s="76" t="s">
        <v>601</v>
      </c>
      <c r="B25" s="86">
        <v>6</v>
      </c>
      <c r="D25" s="76" t="s">
        <v>436</v>
      </c>
      <c r="E25" s="86">
        <v>85666.666666666672</v>
      </c>
      <c r="G25" s="76" t="s">
        <v>190</v>
      </c>
      <c r="H25" s="86">
        <v>68250</v>
      </c>
      <c r="J25" s="76" t="s">
        <v>288</v>
      </c>
      <c r="K25" s="86">
        <v>109777.77777777778</v>
      </c>
      <c r="Y25" s="42"/>
      <c r="AC25" s="30" t="s">
        <v>517</v>
      </c>
      <c r="AD25" s="31">
        <v>3.7875000000000005</v>
      </c>
      <c r="AF25" s="26" t="s">
        <v>882</v>
      </c>
      <c r="AG25" s="32">
        <v>3</v>
      </c>
      <c r="AH25" s="33">
        <v>55000</v>
      </c>
      <c r="AI25" s="34"/>
      <c r="AJ25" s="26" t="s">
        <v>161</v>
      </c>
      <c r="AK25" s="27">
        <v>63</v>
      </c>
      <c r="AL25" s="35">
        <v>105626.98412698413</v>
      </c>
      <c r="AM25" s="36">
        <f t="shared" si="0"/>
        <v>0.4768463903653769</v>
      </c>
      <c r="AN25" s="34"/>
    </row>
    <row r="26" spans="1:40" ht="15.75" customHeight="1" x14ac:dyDescent="0.25">
      <c r="A26" s="76" t="s">
        <v>310</v>
      </c>
      <c r="B26" s="86">
        <v>6</v>
      </c>
      <c r="D26" s="76" t="s">
        <v>458</v>
      </c>
      <c r="E26" s="86">
        <v>85500</v>
      </c>
      <c r="G26" s="76" t="s">
        <v>61</v>
      </c>
      <c r="H26" s="86">
        <v>68314.28571428571</v>
      </c>
      <c r="J26" s="76" t="s">
        <v>163</v>
      </c>
      <c r="K26" s="86">
        <v>108090.90909090909</v>
      </c>
      <c r="Y26" s="42"/>
      <c r="AC26" s="30" t="s">
        <v>95</v>
      </c>
      <c r="AD26" s="31">
        <v>3.7749999999999999</v>
      </c>
      <c r="AF26" s="26" t="s">
        <v>1023</v>
      </c>
      <c r="AG26" s="32">
        <v>1</v>
      </c>
      <c r="AH26" s="33">
        <v>113500</v>
      </c>
      <c r="AI26" s="34"/>
      <c r="AJ26" s="26" t="s">
        <v>82</v>
      </c>
      <c r="AK26" s="27">
        <v>24</v>
      </c>
      <c r="AL26" s="35">
        <v>104854.16666666667</v>
      </c>
      <c r="AM26" s="36">
        <f t="shared" si="0"/>
        <v>0.49489264648077075</v>
      </c>
      <c r="AN26" s="34"/>
    </row>
    <row r="27" spans="1:40" ht="15.75" customHeight="1" x14ac:dyDescent="0.25">
      <c r="A27" s="76" t="s">
        <v>181</v>
      </c>
      <c r="B27" s="86">
        <v>6</v>
      </c>
      <c r="D27" s="76" t="s">
        <v>288</v>
      </c>
      <c r="E27" s="86">
        <v>84722.222222222219</v>
      </c>
      <c r="G27" s="76" t="s">
        <v>93</v>
      </c>
      <c r="H27" s="86">
        <v>68357.142857142855</v>
      </c>
      <c r="J27" s="76" t="s">
        <v>310</v>
      </c>
      <c r="K27" s="86">
        <v>105666.66666666667</v>
      </c>
      <c r="Y27" s="42"/>
      <c r="AC27" s="30" t="s">
        <v>481</v>
      </c>
      <c r="AD27" s="31">
        <v>3.7333333333333329</v>
      </c>
      <c r="AF27" s="26" t="s">
        <v>452</v>
      </c>
      <c r="AG27" s="32">
        <v>1</v>
      </c>
      <c r="AH27" s="33">
        <v>80500</v>
      </c>
      <c r="AI27" s="34"/>
      <c r="AJ27" s="26" t="s">
        <v>426</v>
      </c>
      <c r="AK27" s="27">
        <v>1</v>
      </c>
      <c r="AL27" s="35">
        <v>104500</v>
      </c>
      <c r="AM27" s="36">
        <f t="shared" si="0"/>
        <v>0.51287794762816108</v>
      </c>
      <c r="AN27" s="34"/>
    </row>
    <row r="28" spans="1:40" ht="15.75" customHeight="1" x14ac:dyDescent="0.25">
      <c r="A28" s="76" t="s">
        <v>200</v>
      </c>
      <c r="B28" s="86">
        <v>6</v>
      </c>
      <c r="D28" s="76" t="s">
        <v>310</v>
      </c>
      <c r="E28" s="86">
        <v>80666.666666666672</v>
      </c>
      <c r="G28" s="76" t="s">
        <v>525</v>
      </c>
      <c r="H28" s="86">
        <v>68700</v>
      </c>
      <c r="J28" s="76" t="s">
        <v>436</v>
      </c>
      <c r="K28" s="86">
        <v>105555.55555555556</v>
      </c>
      <c r="Y28" s="15"/>
      <c r="AC28" s="30" t="s">
        <v>848</v>
      </c>
      <c r="AD28" s="31">
        <v>3.7000000000000006</v>
      </c>
      <c r="AF28" s="37" t="s">
        <v>1256</v>
      </c>
      <c r="AG28" s="44">
        <v>742</v>
      </c>
      <c r="AH28" s="45">
        <f>SUM(AH3:AH27)</f>
        <v>2319923.3073360748</v>
      </c>
      <c r="AJ28" s="26" t="s">
        <v>332</v>
      </c>
      <c r="AK28" s="27">
        <v>3</v>
      </c>
      <c r="AL28" s="35">
        <v>103166.66666666667</v>
      </c>
      <c r="AM28" s="36">
        <f t="shared" si="0"/>
        <v>0.53063377124894995</v>
      </c>
      <c r="AN28" s="34"/>
    </row>
    <row r="29" spans="1:40" ht="15.75" customHeight="1" x14ac:dyDescent="0.25">
      <c r="A29" s="76" t="s">
        <v>197</v>
      </c>
      <c r="B29" s="86">
        <v>5</v>
      </c>
      <c r="D29" s="76" t="s">
        <v>766</v>
      </c>
      <c r="E29" s="86">
        <v>78900</v>
      </c>
      <c r="G29" s="76" t="s">
        <v>423</v>
      </c>
      <c r="H29" s="86">
        <v>69047.619047619053</v>
      </c>
      <c r="J29" s="76" t="s">
        <v>766</v>
      </c>
      <c r="K29" s="86">
        <v>101400</v>
      </c>
      <c r="Y29" s="15"/>
      <c r="AC29" s="30" t="s">
        <v>779</v>
      </c>
      <c r="AD29" s="31">
        <v>3.6999999999999997</v>
      </c>
      <c r="AJ29" s="26" t="s">
        <v>532</v>
      </c>
      <c r="AK29" s="27">
        <v>16</v>
      </c>
      <c r="AL29" s="35">
        <v>102687.5</v>
      </c>
      <c r="AM29" s="36">
        <f t="shared" si="0"/>
        <v>0.54830712638361634</v>
      </c>
      <c r="AN29" s="34"/>
    </row>
    <row r="30" spans="1:40" ht="15.75" customHeight="1" x14ac:dyDescent="0.25">
      <c r="A30" s="76" t="s">
        <v>766</v>
      </c>
      <c r="B30" s="86">
        <v>5</v>
      </c>
      <c r="D30" s="76" t="s">
        <v>67</v>
      </c>
      <c r="E30" s="86">
        <v>77625</v>
      </c>
      <c r="G30" s="76" t="s">
        <v>122</v>
      </c>
      <c r="H30" s="86">
        <v>70024.390243902439</v>
      </c>
      <c r="J30" s="76" t="s">
        <v>67</v>
      </c>
      <c r="K30" s="86">
        <v>94875</v>
      </c>
      <c r="Y30" s="15"/>
      <c r="AC30" s="30" t="s">
        <v>213</v>
      </c>
      <c r="AD30" s="31">
        <v>3.675510204081633</v>
      </c>
      <c r="AJ30" s="26" t="s">
        <v>213</v>
      </c>
      <c r="AK30" s="27">
        <v>49</v>
      </c>
      <c r="AL30" s="35">
        <v>101173.4693877551</v>
      </c>
      <c r="AM30" s="36">
        <f t="shared" si="0"/>
        <v>0.56571990451821008</v>
      </c>
      <c r="AN30" s="34"/>
    </row>
    <row r="31" spans="1:40" ht="15.75" customHeight="1" x14ac:dyDescent="0.25">
      <c r="A31" s="76" t="s">
        <v>190</v>
      </c>
      <c r="B31" s="86">
        <v>4</v>
      </c>
      <c r="D31" s="76" t="s">
        <v>48</v>
      </c>
      <c r="E31" s="86">
        <v>74333.333333333328</v>
      </c>
      <c r="G31" s="76" t="s">
        <v>76</v>
      </c>
      <c r="H31" s="86">
        <v>71047.619047619053</v>
      </c>
      <c r="J31" s="76" t="s">
        <v>48</v>
      </c>
      <c r="K31" s="86">
        <v>93666.666666666672</v>
      </c>
      <c r="Y31" s="15"/>
      <c r="AC31" s="30" t="s">
        <v>168</v>
      </c>
      <c r="AD31" s="31">
        <v>3.65</v>
      </c>
      <c r="AJ31" s="26" t="s">
        <v>90</v>
      </c>
      <c r="AK31" s="27">
        <v>7</v>
      </c>
      <c r="AL31" s="35">
        <v>101142.85714285714</v>
      </c>
      <c r="AM31" s="36">
        <f t="shared" si="0"/>
        <v>0.58312741403612167</v>
      </c>
      <c r="AN31" s="34"/>
    </row>
    <row r="32" spans="1:40" ht="15.75" customHeight="1" x14ac:dyDescent="0.25">
      <c r="A32" s="76" t="s">
        <v>439</v>
      </c>
      <c r="B32" s="86">
        <v>4</v>
      </c>
      <c r="D32" s="76" t="s">
        <v>403</v>
      </c>
      <c r="E32" s="86">
        <v>73300</v>
      </c>
      <c r="G32" s="76" t="s">
        <v>85</v>
      </c>
      <c r="H32" s="86">
        <v>72125</v>
      </c>
      <c r="J32" s="76" t="s">
        <v>403</v>
      </c>
      <c r="K32" s="86">
        <v>92200</v>
      </c>
      <c r="Y32" s="15"/>
      <c r="AC32" s="30" t="s">
        <v>332</v>
      </c>
      <c r="AD32" s="31">
        <v>3.6</v>
      </c>
      <c r="AJ32" s="26" t="s">
        <v>45</v>
      </c>
      <c r="AK32" s="27">
        <v>24</v>
      </c>
      <c r="AL32" s="35">
        <v>99583.333333333328</v>
      </c>
      <c r="AM32" s="36">
        <f t="shared" si="0"/>
        <v>0.60026651680416909</v>
      </c>
      <c r="AN32" s="34"/>
    </row>
    <row r="33" spans="1:40" ht="15.75" customHeight="1" x14ac:dyDescent="0.25">
      <c r="A33" s="76" t="s">
        <v>375</v>
      </c>
      <c r="B33" s="86">
        <v>4</v>
      </c>
      <c r="D33" s="76" t="s">
        <v>197</v>
      </c>
      <c r="E33" s="86">
        <v>71100</v>
      </c>
      <c r="G33" s="76" t="s">
        <v>737</v>
      </c>
      <c r="H33" s="86">
        <v>74000</v>
      </c>
      <c r="J33" s="76" t="s">
        <v>197</v>
      </c>
      <c r="K33" s="86">
        <v>84600</v>
      </c>
      <c r="Y33" s="15"/>
      <c r="AC33" s="30" t="s">
        <v>143</v>
      </c>
      <c r="AD33" s="31">
        <v>3.6</v>
      </c>
      <c r="AJ33" s="26" t="s">
        <v>174</v>
      </c>
      <c r="AK33" s="27">
        <v>4</v>
      </c>
      <c r="AL33" s="35">
        <v>98250</v>
      </c>
      <c r="AM33" s="36">
        <f t="shared" si="0"/>
        <v>0.61717614204561499</v>
      </c>
      <c r="AN33" s="34"/>
    </row>
    <row r="34" spans="1:40" ht="15.75" customHeight="1" x14ac:dyDescent="0.25">
      <c r="A34" s="76" t="s">
        <v>849</v>
      </c>
      <c r="B34" s="86">
        <v>3</v>
      </c>
      <c r="D34" s="76" t="s">
        <v>789</v>
      </c>
      <c r="E34" s="86">
        <v>60500</v>
      </c>
      <c r="G34" s="76" t="s">
        <v>145</v>
      </c>
      <c r="H34" s="86">
        <v>76823.529411764699</v>
      </c>
      <c r="J34" s="76" t="s">
        <v>789</v>
      </c>
      <c r="K34" s="86">
        <v>82000</v>
      </c>
      <c r="Y34" s="15"/>
      <c r="AC34" s="30" t="s">
        <v>775</v>
      </c>
      <c r="AD34" s="31">
        <v>3.6</v>
      </c>
      <c r="AJ34" s="26" t="s">
        <v>666</v>
      </c>
      <c r="AK34" s="27">
        <v>4</v>
      </c>
      <c r="AL34" s="35">
        <v>98000</v>
      </c>
      <c r="AM34" s="36">
        <f t="shared" si="0"/>
        <v>0.63404274025082319</v>
      </c>
      <c r="AN34" s="34"/>
    </row>
    <row r="35" spans="1:40" ht="15.75" customHeight="1" x14ac:dyDescent="0.25">
      <c r="A35" s="76" t="s">
        <v>48</v>
      </c>
      <c r="B35" s="86">
        <v>3</v>
      </c>
      <c r="D35" s="76" t="s">
        <v>274</v>
      </c>
      <c r="E35" s="86">
        <v>57937.5</v>
      </c>
      <c r="G35" s="76" t="s">
        <v>200</v>
      </c>
      <c r="H35" s="86">
        <v>77000</v>
      </c>
      <c r="J35" s="76" t="s">
        <v>375</v>
      </c>
      <c r="K35" s="86">
        <v>75000</v>
      </c>
      <c r="Y35" s="15"/>
      <c r="AC35" s="30" t="s">
        <v>647</v>
      </c>
      <c r="AD35" s="31">
        <v>3.6</v>
      </c>
      <c r="AJ35" s="26" t="s">
        <v>344</v>
      </c>
      <c r="AK35" s="27">
        <v>1</v>
      </c>
      <c r="AL35" s="35">
        <v>98000</v>
      </c>
      <c r="AM35" s="36">
        <f t="shared" si="0"/>
        <v>0.65090933845603138</v>
      </c>
      <c r="AN35" s="34"/>
    </row>
    <row r="36" spans="1:40" ht="15.75" customHeight="1" x14ac:dyDescent="0.25">
      <c r="A36" s="76" t="s">
        <v>0</v>
      </c>
      <c r="B36" s="86">
        <v>2</v>
      </c>
      <c r="D36" s="76" t="s">
        <v>375</v>
      </c>
      <c r="E36" s="86">
        <v>57625</v>
      </c>
      <c r="G36" s="76" t="s">
        <v>138</v>
      </c>
      <c r="H36" s="86">
        <v>78689.320388349515</v>
      </c>
      <c r="J36" s="76" t="s">
        <v>274</v>
      </c>
      <c r="K36" s="86">
        <v>75000</v>
      </c>
      <c r="Y36" s="15"/>
      <c r="AC36" s="30" t="s">
        <v>1032</v>
      </c>
      <c r="AD36" s="31">
        <v>3.6</v>
      </c>
      <c r="AJ36" s="26" t="s">
        <v>499</v>
      </c>
      <c r="AK36" s="27">
        <v>19</v>
      </c>
      <c r="AL36" s="35">
        <v>96026.31578947368</v>
      </c>
      <c r="AM36" s="36">
        <f t="shared" si="0"/>
        <v>0.66743624953304659</v>
      </c>
      <c r="AN36" s="34"/>
    </row>
    <row r="37" spans="1:40" ht="15.75" customHeight="1" x14ac:dyDescent="0.25">
      <c r="A37" s="76" t="s">
        <v>458</v>
      </c>
      <c r="B37" s="86">
        <v>2</v>
      </c>
      <c r="D37" s="76" t="s">
        <v>601</v>
      </c>
      <c r="E37" s="86">
        <v>56500</v>
      </c>
      <c r="G37" s="76" t="s">
        <v>176</v>
      </c>
      <c r="H37" s="86">
        <v>88350</v>
      </c>
      <c r="J37" s="76" t="s">
        <v>0</v>
      </c>
      <c r="K37" s="86">
        <v>73000</v>
      </c>
      <c r="Y37" s="15"/>
      <c r="AC37" s="30" t="s">
        <v>317</v>
      </c>
      <c r="AD37" s="31">
        <v>3.56</v>
      </c>
      <c r="AJ37" s="26" t="s">
        <v>64</v>
      </c>
      <c r="AK37" s="27">
        <v>7</v>
      </c>
      <c r="AL37" s="35">
        <v>93500</v>
      </c>
      <c r="AM37" s="36">
        <f t="shared" si="0"/>
        <v>0.68352836108597481</v>
      </c>
      <c r="AN37" s="34"/>
    </row>
    <row r="38" spans="1:40" ht="15.75" customHeight="1" x14ac:dyDescent="0.25">
      <c r="A38" s="76" t="s">
        <v>737</v>
      </c>
      <c r="B38" s="86">
        <v>1</v>
      </c>
      <c r="D38" s="76" t="s">
        <v>0</v>
      </c>
      <c r="E38" s="86">
        <v>56250</v>
      </c>
      <c r="G38" s="76" t="s">
        <v>245</v>
      </c>
      <c r="H38" s="86">
        <v>88636.363636363632</v>
      </c>
      <c r="J38" s="76" t="s">
        <v>601</v>
      </c>
      <c r="K38" s="86">
        <v>70000</v>
      </c>
      <c r="Y38" s="15"/>
      <c r="AC38" s="30" t="s">
        <v>82</v>
      </c>
      <c r="AD38" s="31">
        <v>3.5499999999999994</v>
      </c>
      <c r="AJ38" s="26" t="s">
        <v>127</v>
      </c>
      <c r="AK38" s="27">
        <v>6</v>
      </c>
      <c r="AL38" s="35">
        <v>92666.666666666672</v>
      </c>
      <c r="AM38" s="36">
        <f t="shared" si="0"/>
        <v>0.69947704918477704</v>
      </c>
      <c r="AN38" s="34"/>
    </row>
    <row r="39" spans="1:40" ht="15.75" customHeight="1" x14ac:dyDescent="0.25">
      <c r="A39" s="76" t="s">
        <v>789</v>
      </c>
      <c r="B39" s="86">
        <v>1</v>
      </c>
      <c r="D39" s="76" t="s">
        <v>439</v>
      </c>
      <c r="E39" s="86">
        <v>54250</v>
      </c>
      <c r="G39" s="76" t="s">
        <v>102</v>
      </c>
      <c r="H39" s="86">
        <v>92427.631578947374</v>
      </c>
      <c r="J39" s="76" t="s">
        <v>439</v>
      </c>
      <c r="K39" s="86">
        <v>69250</v>
      </c>
      <c r="Y39" s="15"/>
      <c r="AC39" s="30" t="s">
        <v>161</v>
      </c>
      <c r="AD39" s="31">
        <v>3.5349206349206357</v>
      </c>
      <c r="AJ39" s="26" t="s">
        <v>481</v>
      </c>
      <c r="AK39" s="27">
        <v>3</v>
      </c>
      <c r="AL39" s="35">
        <v>88666.666666666672</v>
      </c>
      <c r="AM39" s="36">
        <f t="shared" si="0"/>
        <v>0.71473730470377483</v>
      </c>
      <c r="AN39" s="34"/>
    </row>
    <row r="40" spans="1:40" ht="15.75" customHeight="1" x14ac:dyDescent="0.25">
      <c r="A40" s="77" t="s">
        <v>1256</v>
      </c>
      <c r="B40" s="87">
        <v>742</v>
      </c>
      <c r="D40" s="77" t="s">
        <v>1256</v>
      </c>
      <c r="E40" s="87">
        <v>101484.50134770889</v>
      </c>
      <c r="G40" s="77" t="s">
        <v>1256</v>
      </c>
      <c r="H40" s="87">
        <v>74754.716981132078</v>
      </c>
      <c r="J40" s="77" t="s">
        <v>1256</v>
      </c>
      <c r="K40" s="87">
        <v>128214.28571428571</v>
      </c>
      <c r="Y40" s="15"/>
      <c r="AC40" s="30" t="s">
        <v>577</v>
      </c>
      <c r="AD40" s="31">
        <v>3.5200000000000005</v>
      </c>
      <c r="AJ40" s="26" t="s">
        <v>848</v>
      </c>
      <c r="AK40" s="27">
        <v>3</v>
      </c>
      <c r="AL40" s="35">
        <v>87000</v>
      </c>
      <c r="AM40" s="36">
        <f t="shared" si="0"/>
        <v>0.72971071331452086</v>
      </c>
      <c r="AN40" s="34"/>
    </row>
    <row r="41" spans="1:40" ht="15.75" customHeight="1" x14ac:dyDescent="0.25">
      <c r="Y41" s="15"/>
      <c r="AC41" s="30" t="s">
        <v>136</v>
      </c>
      <c r="AD41" s="31">
        <v>3.5098214285714269</v>
      </c>
      <c r="AJ41" s="26" t="s">
        <v>1088</v>
      </c>
      <c r="AK41" s="27">
        <v>3</v>
      </c>
      <c r="AL41" s="35">
        <v>86666.666666666672</v>
      </c>
      <c r="AM41" s="36">
        <f t="shared" si="0"/>
        <v>0.74462675254361654</v>
      </c>
      <c r="AN41" s="34"/>
    </row>
    <row r="42" spans="1:40" ht="15.75" customHeight="1" x14ac:dyDescent="0.25">
      <c r="Y42" s="15"/>
      <c r="AC42" s="30" t="s">
        <v>470</v>
      </c>
      <c r="AD42" s="31">
        <v>3.5</v>
      </c>
      <c r="AJ42" s="26" t="s">
        <v>1184</v>
      </c>
      <c r="AK42" s="27">
        <v>1</v>
      </c>
      <c r="AL42" s="35">
        <v>85500</v>
      </c>
      <c r="AM42" s="36">
        <f t="shared" si="0"/>
        <v>0.75934199893693588</v>
      </c>
      <c r="AN42" s="34"/>
    </row>
    <row r="43" spans="1:40" ht="15.75" customHeight="1" x14ac:dyDescent="0.25">
      <c r="Y43" s="15"/>
      <c r="AC43" s="30" t="s">
        <v>1041</v>
      </c>
      <c r="AD43" s="31">
        <v>3.5</v>
      </c>
      <c r="AJ43" s="26" t="s">
        <v>303</v>
      </c>
      <c r="AK43" s="27">
        <v>2</v>
      </c>
      <c r="AL43" s="35">
        <v>85000</v>
      </c>
      <c r="AM43" s="36">
        <f t="shared" si="0"/>
        <v>0.77397119125777969</v>
      </c>
      <c r="AN43" s="34"/>
    </row>
    <row r="44" spans="1:40" ht="15.75" customHeight="1" x14ac:dyDescent="0.25">
      <c r="Y44" s="15"/>
      <c r="AC44" s="30" t="s">
        <v>115</v>
      </c>
      <c r="AD44" s="31">
        <v>3.5</v>
      </c>
      <c r="AJ44" s="26" t="s">
        <v>298</v>
      </c>
      <c r="AK44" s="27">
        <v>4</v>
      </c>
      <c r="AL44" s="35">
        <v>83500</v>
      </c>
      <c r="AM44" s="36">
        <f t="shared" si="0"/>
        <v>0.7883422213611968</v>
      </c>
      <c r="AN44" s="34"/>
    </row>
    <row r="45" spans="1:40" ht="15.75" customHeight="1" x14ac:dyDescent="0.25">
      <c r="Y45" s="15"/>
      <c r="AC45" s="30" t="s">
        <v>58</v>
      </c>
      <c r="AD45" s="31">
        <v>3.4959183673469378</v>
      </c>
      <c r="AJ45" s="26" t="s">
        <v>613</v>
      </c>
      <c r="AK45" s="27">
        <v>8</v>
      </c>
      <c r="AL45" s="35">
        <v>83000</v>
      </c>
      <c r="AM45" s="36">
        <f t="shared" si="0"/>
        <v>0.80262719739213839</v>
      </c>
      <c r="AN45" s="34"/>
    </row>
    <row r="46" spans="1:40" ht="15.75" customHeight="1" x14ac:dyDescent="0.25">
      <c r="Y46" s="15"/>
      <c r="AC46" s="30" t="s">
        <v>676</v>
      </c>
      <c r="AD46" s="31">
        <v>3.4</v>
      </c>
      <c r="AJ46" s="26" t="s">
        <v>397</v>
      </c>
      <c r="AK46" s="27">
        <v>11</v>
      </c>
      <c r="AL46" s="35">
        <v>80500</v>
      </c>
      <c r="AM46" s="36">
        <f t="shared" si="0"/>
        <v>0.81648190306070223</v>
      </c>
      <c r="AN46" s="34"/>
    </row>
    <row r="47" spans="1:40" ht="15.75" customHeight="1" x14ac:dyDescent="0.25">
      <c r="Y47" s="15"/>
      <c r="AC47" s="30" t="s">
        <v>814</v>
      </c>
      <c r="AD47" s="31">
        <v>3.4</v>
      </c>
      <c r="AJ47" s="26" t="s">
        <v>451</v>
      </c>
      <c r="AK47" s="27">
        <v>1</v>
      </c>
      <c r="AL47" s="35">
        <v>80500</v>
      </c>
      <c r="AM47" s="36">
        <f t="shared" si="0"/>
        <v>0.83033660872926607</v>
      </c>
      <c r="AN47" s="34"/>
    </row>
    <row r="48" spans="1:40" ht="15.75" customHeight="1" x14ac:dyDescent="0.25">
      <c r="Y48" s="15"/>
      <c r="AC48" s="30" t="s">
        <v>704</v>
      </c>
      <c r="AD48" s="31">
        <v>3.3333333333333335</v>
      </c>
      <c r="AJ48" s="26" t="s">
        <v>72</v>
      </c>
      <c r="AK48" s="27">
        <v>14</v>
      </c>
      <c r="AL48" s="35">
        <v>80464.28571428571</v>
      </c>
      <c r="AM48" s="36">
        <f t="shared" si="0"/>
        <v>0.84418516767836738</v>
      </c>
      <c r="AN48" s="34"/>
    </row>
    <row r="49" spans="25:40" ht="15.75" customHeight="1" x14ac:dyDescent="0.25">
      <c r="Y49" s="15"/>
      <c r="AC49" s="30" t="s">
        <v>426</v>
      </c>
      <c r="AD49" s="31">
        <v>3.3</v>
      </c>
      <c r="AJ49" s="26" t="s">
        <v>414</v>
      </c>
      <c r="AK49" s="27">
        <v>3</v>
      </c>
      <c r="AL49" s="35">
        <v>79500</v>
      </c>
      <c r="AM49" s="36">
        <f t="shared" si="0"/>
        <v>0.85786776520198016</v>
      </c>
      <c r="AN49" s="34"/>
    </row>
    <row r="50" spans="25:40" ht="15.75" customHeight="1" x14ac:dyDescent="0.25">
      <c r="Y50" s="15"/>
      <c r="AC50" s="30" t="s">
        <v>881</v>
      </c>
      <c r="AD50" s="31">
        <v>3.2999999999999994</v>
      </c>
      <c r="AJ50" s="26" t="s">
        <v>699</v>
      </c>
      <c r="AK50" s="27">
        <v>1</v>
      </c>
      <c r="AL50" s="35">
        <v>79000</v>
      </c>
      <c r="AM50" s="36">
        <f t="shared" si="0"/>
        <v>0.8714643086531173</v>
      </c>
      <c r="AN50" s="34"/>
    </row>
    <row r="51" spans="25:40" ht="15.75" customHeight="1" x14ac:dyDescent="0.25">
      <c r="Y51" s="15"/>
      <c r="AC51" s="30" t="s">
        <v>397</v>
      </c>
      <c r="AD51" s="31">
        <v>3.290909090909091</v>
      </c>
      <c r="AJ51" s="26" t="s">
        <v>523</v>
      </c>
      <c r="AK51" s="27">
        <v>6</v>
      </c>
      <c r="AL51" s="35">
        <v>78833.333333333328</v>
      </c>
      <c r="AM51" s="36">
        <f t="shared" si="0"/>
        <v>0.88503216741342927</v>
      </c>
      <c r="AN51" s="34"/>
    </row>
    <row r="52" spans="25:40" ht="15.75" customHeight="1" x14ac:dyDescent="0.25">
      <c r="Y52" s="15"/>
      <c r="AC52" s="30" t="s">
        <v>298</v>
      </c>
      <c r="AD52" s="31">
        <v>3.25</v>
      </c>
      <c r="AJ52" s="26" t="s">
        <v>121</v>
      </c>
      <c r="AK52" s="27">
        <v>19</v>
      </c>
      <c r="AL52" s="35">
        <v>78394.736842105267</v>
      </c>
      <c r="AM52" s="36">
        <f t="shared" si="0"/>
        <v>0.89852454014525396</v>
      </c>
      <c r="AN52" s="34"/>
    </row>
    <row r="53" spans="25:40" ht="15.75" customHeight="1" x14ac:dyDescent="0.25">
      <c r="Y53" s="15"/>
      <c r="AC53" s="30" t="s">
        <v>493</v>
      </c>
      <c r="AD53" s="31">
        <v>3.25</v>
      </c>
      <c r="AJ53" s="26" t="s">
        <v>58</v>
      </c>
      <c r="AK53" s="27">
        <v>49</v>
      </c>
      <c r="AL53" s="35">
        <v>77061.224489795917</v>
      </c>
      <c r="AM53" s="36">
        <f t="shared" si="0"/>
        <v>0.9117874045398533</v>
      </c>
      <c r="AN53" s="34"/>
    </row>
    <row r="54" spans="25:40" ht="15.75" customHeight="1" x14ac:dyDescent="0.25">
      <c r="Y54" s="15"/>
      <c r="AC54" s="30" t="s">
        <v>499</v>
      </c>
      <c r="AD54" s="31">
        <v>3.1578947368421062</v>
      </c>
      <c r="AJ54" s="26" t="s">
        <v>1032</v>
      </c>
      <c r="AK54" s="27">
        <v>1</v>
      </c>
      <c r="AL54" s="35">
        <v>73000</v>
      </c>
      <c r="AM54" s="36">
        <f t="shared" si="0"/>
        <v>0.92435129912128389</v>
      </c>
      <c r="AN54" s="34"/>
    </row>
    <row r="55" spans="25:40" ht="15.75" customHeight="1" x14ac:dyDescent="0.25">
      <c r="Y55" s="15"/>
      <c r="AC55" s="30" t="s">
        <v>344</v>
      </c>
      <c r="AD55" s="31">
        <v>3.1</v>
      </c>
      <c r="AJ55" s="26" t="s">
        <v>95</v>
      </c>
      <c r="AK55" s="27">
        <v>12</v>
      </c>
      <c r="AL55" s="35">
        <v>70625</v>
      </c>
      <c r="AM55" s="36">
        <f t="shared" si="0"/>
        <v>0.93650643685845558</v>
      </c>
      <c r="AN55" s="34"/>
    </row>
    <row r="56" spans="25:40" ht="15.75" customHeight="1" x14ac:dyDescent="0.25">
      <c r="Y56" s="15"/>
      <c r="AC56" s="30" t="s">
        <v>693</v>
      </c>
      <c r="AD56" s="31">
        <v>3.1</v>
      </c>
      <c r="AJ56" s="26" t="s">
        <v>517</v>
      </c>
      <c r="AK56" s="27">
        <v>8</v>
      </c>
      <c r="AL56" s="35">
        <v>69500</v>
      </c>
      <c r="AM56" s="36">
        <f t="shared" si="0"/>
        <v>0.94846795293255726</v>
      </c>
      <c r="AN56" s="34"/>
    </row>
    <row r="57" spans="25:40" ht="15.75" customHeight="1" x14ac:dyDescent="0.25">
      <c r="Y57" s="15"/>
      <c r="AC57" s="30" t="s">
        <v>666</v>
      </c>
      <c r="AD57" s="31">
        <v>3</v>
      </c>
      <c r="AJ57" s="26" t="s">
        <v>881</v>
      </c>
      <c r="AK57" s="27">
        <v>3</v>
      </c>
      <c r="AL57" s="35">
        <v>55000</v>
      </c>
      <c r="AM57" s="36">
        <f t="shared" si="0"/>
        <v>0.95793390090486796</v>
      </c>
      <c r="AN57" s="34"/>
    </row>
    <row r="58" spans="25:40" ht="15.75" customHeight="1" x14ac:dyDescent="0.25">
      <c r="Y58" s="15"/>
      <c r="AC58" s="30" t="s">
        <v>127</v>
      </c>
      <c r="AD58" s="31">
        <v>2.9</v>
      </c>
      <c r="AJ58" s="26" t="s">
        <v>657</v>
      </c>
      <c r="AK58" s="27">
        <v>8</v>
      </c>
      <c r="AL58" s="35">
        <v>53250</v>
      </c>
      <c r="AM58" s="36">
        <f t="shared" si="0"/>
        <v>0.96709865962351427</v>
      </c>
      <c r="AN58" s="34"/>
    </row>
    <row r="59" spans="25:40" ht="15.75" customHeight="1" x14ac:dyDescent="0.25">
      <c r="Y59" s="15"/>
      <c r="AC59" s="30" t="s">
        <v>657</v>
      </c>
      <c r="AD59" s="31">
        <v>2.8499999999999996</v>
      </c>
      <c r="AJ59" s="26" t="s">
        <v>477</v>
      </c>
      <c r="AK59" s="27">
        <v>4</v>
      </c>
      <c r="AL59" s="35">
        <v>50500</v>
      </c>
      <c r="AM59" s="36">
        <f t="shared" si="0"/>
        <v>0.975790120943545</v>
      </c>
      <c r="AN59" s="34"/>
    </row>
    <row r="60" spans="25:40" ht="15.75" customHeight="1" x14ac:dyDescent="0.25">
      <c r="Y60" s="15"/>
      <c r="AC60" s="30" t="s">
        <v>532</v>
      </c>
      <c r="AD60" s="31">
        <v>2.7750000000000008</v>
      </c>
      <c r="AJ60" s="26" t="s">
        <v>647</v>
      </c>
      <c r="AK60" s="27">
        <v>4</v>
      </c>
      <c r="AL60" s="35">
        <v>48500</v>
      </c>
      <c r="AM60" s="36">
        <f t="shared" si="0"/>
        <v>0.98413736597367352</v>
      </c>
      <c r="AN60" s="34"/>
    </row>
    <row r="61" spans="25:40" ht="15.75" customHeight="1" x14ac:dyDescent="0.25">
      <c r="Y61" s="15"/>
      <c r="AC61" s="30" t="s">
        <v>1184</v>
      </c>
      <c r="AD61" s="31">
        <v>2.2000000000000002</v>
      </c>
      <c r="AJ61" s="26" t="s">
        <v>704</v>
      </c>
      <c r="AK61" s="27">
        <v>3</v>
      </c>
      <c r="AL61" s="35">
        <v>48166.666666666664</v>
      </c>
      <c r="AM61" s="36">
        <f t="shared" si="0"/>
        <v>0.99242724162215168</v>
      </c>
      <c r="AN61" s="34"/>
    </row>
    <row r="62" spans="25:40" ht="15.75" customHeight="1" x14ac:dyDescent="0.25">
      <c r="Y62" s="15"/>
      <c r="AC62" s="30" t="s">
        <v>47</v>
      </c>
      <c r="AD62" s="31">
        <v>2.0789473684210527</v>
      </c>
      <c r="AJ62" s="26" t="s">
        <v>814</v>
      </c>
      <c r="AK62" s="27">
        <v>2</v>
      </c>
      <c r="AL62" s="35">
        <v>44000</v>
      </c>
      <c r="AM62" s="36">
        <f t="shared" si="0"/>
        <v>1.0000000000000002</v>
      </c>
      <c r="AN62" s="34"/>
    </row>
    <row r="63" spans="25:40" ht="15.75" customHeight="1" x14ac:dyDescent="0.25">
      <c r="Y63" s="15"/>
      <c r="AC63" s="40" t="s">
        <v>1256</v>
      </c>
      <c r="AD63" s="41">
        <v>3.6336927223719644</v>
      </c>
      <c r="AJ63" s="37" t="s">
        <v>1256</v>
      </c>
      <c r="AK63" s="39">
        <v>742</v>
      </c>
      <c r="AL63" s="46">
        <f>SUM(AL3:AL62)</f>
        <v>5810300.263733035</v>
      </c>
    </row>
    <row r="64" spans="25:40" ht="15.75" customHeight="1" x14ac:dyDescent="0.25">
      <c r="Y64" s="15"/>
    </row>
    <row r="65" spans="25:25" ht="15.75" customHeight="1" x14ac:dyDescent="0.25">
      <c r="Y65" s="15"/>
    </row>
    <row r="66" spans="25:25" ht="15.75" customHeight="1" x14ac:dyDescent="0.25">
      <c r="Y66" s="15"/>
    </row>
    <row r="67" spans="25:25" ht="15.75" customHeight="1" x14ac:dyDescent="0.25">
      <c r="Y67" s="15"/>
    </row>
    <row r="68" spans="25:25" ht="15.75" customHeight="1" x14ac:dyDescent="0.25">
      <c r="Y68" s="15"/>
    </row>
    <row r="69" spans="25:25" ht="15.75" customHeight="1" x14ac:dyDescent="0.25">
      <c r="Y69" s="15"/>
    </row>
    <row r="70" spans="25:25" ht="15.75" customHeight="1" x14ac:dyDescent="0.25">
      <c r="Y70" s="15"/>
    </row>
    <row r="71" spans="25:25" ht="15.75" customHeight="1" x14ac:dyDescent="0.25">
      <c r="Y71" s="15"/>
    </row>
    <row r="72" spans="25:25" ht="15.75" customHeight="1" x14ac:dyDescent="0.25">
      <c r="Y72" s="15"/>
    </row>
    <row r="73" spans="25:25" ht="15.75" customHeight="1" x14ac:dyDescent="0.25">
      <c r="Y73" s="15"/>
    </row>
    <row r="74" spans="25:25" ht="15.75" customHeight="1" x14ac:dyDescent="0.25">
      <c r="Y74" s="15"/>
    </row>
    <row r="75" spans="25:25" ht="15.75" customHeight="1" x14ac:dyDescent="0.25">
      <c r="Y75" s="15"/>
    </row>
    <row r="76" spans="25:25" ht="15.75" customHeight="1" x14ac:dyDescent="0.25">
      <c r="Y76" s="15"/>
    </row>
    <row r="77" spans="25:25" ht="15.75" customHeight="1" x14ac:dyDescent="0.25">
      <c r="Y77" s="15"/>
    </row>
    <row r="78" spans="25:25" ht="15.75" customHeight="1" x14ac:dyDescent="0.25">
      <c r="Y78" s="15"/>
    </row>
    <row r="79" spans="25:25" ht="15.75" customHeight="1" x14ac:dyDescent="0.25">
      <c r="Y79" s="15"/>
    </row>
    <row r="80" spans="25:25" ht="15.75" customHeight="1" x14ac:dyDescent="0.25">
      <c r="Y80" s="15"/>
    </row>
    <row r="81" spans="25:25" ht="15.75" customHeight="1" x14ac:dyDescent="0.25">
      <c r="Y81" s="15"/>
    </row>
    <row r="82" spans="25:25" ht="15.75" customHeight="1" x14ac:dyDescent="0.25">
      <c r="Y82" s="15"/>
    </row>
    <row r="83" spans="25:25" ht="15.75" customHeight="1" x14ac:dyDescent="0.25">
      <c r="Y83" s="15"/>
    </row>
    <row r="84" spans="25:25" ht="15.75" customHeight="1" x14ac:dyDescent="0.25">
      <c r="Y84" s="15"/>
    </row>
    <row r="85" spans="25:25" ht="15.75" customHeight="1" x14ac:dyDescent="0.25">
      <c r="Y85" s="15"/>
    </row>
    <row r="86" spans="25:25" ht="15.75" customHeight="1" x14ac:dyDescent="0.25">
      <c r="Y86" s="15"/>
    </row>
    <row r="87" spans="25:25" ht="15.75" customHeight="1" x14ac:dyDescent="0.25">
      <c r="Y87" s="15"/>
    </row>
    <row r="88" spans="25:25" ht="15.75" customHeight="1" x14ac:dyDescent="0.25">
      <c r="Y88" s="15"/>
    </row>
    <row r="89" spans="25:25" ht="15.75" customHeight="1" x14ac:dyDescent="0.25">
      <c r="Y89" s="15"/>
    </row>
    <row r="90" spans="25:25" ht="15.75" customHeight="1" x14ac:dyDescent="0.25">
      <c r="Y90" s="15"/>
    </row>
    <row r="91" spans="25:25" ht="15.75" customHeight="1" x14ac:dyDescent="0.25">
      <c r="Y91" s="15"/>
    </row>
    <row r="92" spans="25:25" ht="15.75" customHeight="1" x14ac:dyDescent="0.25">
      <c r="Y92" s="15"/>
    </row>
    <row r="93" spans="25:25" ht="15.75" customHeight="1" x14ac:dyDescent="0.25">
      <c r="Y93" s="15"/>
    </row>
    <row r="94" spans="25:25" ht="15.75" customHeight="1" x14ac:dyDescent="0.25">
      <c r="Y94" s="15"/>
    </row>
    <row r="95" spans="25:25" ht="15.75" customHeight="1" x14ac:dyDescent="0.25">
      <c r="Y95" s="15"/>
    </row>
    <row r="96" spans="25:25" ht="15.75" customHeight="1" x14ac:dyDescent="0.25">
      <c r="Y96" s="15"/>
    </row>
    <row r="97" spans="25:25" ht="15.75" customHeight="1" x14ac:dyDescent="0.25">
      <c r="Y97" s="15"/>
    </row>
    <row r="98" spans="25:25" ht="15.75" customHeight="1" x14ac:dyDescent="0.25">
      <c r="Y98" s="15"/>
    </row>
    <row r="99" spans="25:25" ht="15.75" customHeight="1" x14ac:dyDescent="0.25">
      <c r="Y99" s="15"/>
    </row>
    <row r="100" spans="25:25" ht="15.75" customHeight="1" x14ac:dyDescent="0.25">
      <c r="Y100" s="15"/>
    </row>
    <row r="101" spans="25:25" ht="15.75" customHeight="1" x14ac:dyDescent="0.25">
      <c r="Y101" s="15"/>
    </row>
    <row r="102" spans="25:25" ht="15.75" customHeight="1" x14ac:dyDescent="0.25">
      <c r="Y102" s="15"/>
    </row>
    <row r="103" spans="25:25" ht="15.75" customHeight="1" x14ac:dyDescent="0.25">
      <c r="Y103" s="15"/>
    </row>
    <row r="104" spans="25:25" ht="15.75" customHeight="1" x14ac:dyDescent="0.25">
      <c r="Y104" s="15"/>
    </row>
    <row r="105" spans="25:25" ht="15.75" customHeight="1" x14ac:dyDescent="0.25">
      <c r="Y105" s="15"/>
    </row>
    <row r="106" spans="25:25" ht="15.75" customHeight="1" x14ac:dyDescent="0.25">
      <c r="Y106" s="15"/>
    </row>
    <row r="107" spans="25:25" ht="15.75" customHeight="1" x14ac:dyDescent="0.25">
      <c r="Y107" s="15"/>
    </row>
    <row r="108" spans="25:25" ht="15.75" customHeight="1" x14ac:dyDescent="0.25">
      <c r="Y108" s="15"/>
    </row>
    <row r="109" spans="25:25" ht="15.75" customHeight="1" x14ac:dyDescent="0.25">
      <c r="Y109" s="15"/>
    </row>
    <row r="110" spans="25:25" ht="15.75" customHeight="1" x14ac:dyDescent="0.25">
      <c r="Y110" s="15"/>
    </row>
    <row r="111" spans="25:25" ht="15.75" customHeight="1" x14ac:dyDescent="0.25">
      <c r="Y111" s="15"/>
    </row>
    <row r="112" spans="25:25" ht="15.75" customHeight="1" x14ac:dyDescent="0.25">
      <c r="Y112" s="15"/>
    </row>
    <row r="113" spans="25:25" ht="15.75" customHeight="1" x14ac:dyDescent="0.25">
      <c r="Y113" s="15"/>
    </row>
    <row r="114" spans="25:25" ht="15.75" customHeight="1" x14ac:dyDescent="0.25">
      <c r="Y114" s="15"/>
    </row>
    <row r="115" spans="25:25" ht="15.75" customHeight="1" x14ac:dyDescent="0.25">
      <c r="Y115" s="15"/>
    </row>
    <row r="116" spans="25:25" ht="15.75" customHeight="1" x14ac:dyDescent="0.25">
      <c r="Y116" s="15"/>
    </row>
    <row r="117" spans="25:25" ht="15.75" customHeight="1" x14ac:dyDescent="0.25">
      <c r="Y117" s="15"/>
    </row>
    <row r="118" spans="25:25" ht="15.75" customHeight="1" x14ac:dyDescent="0.25">
      <c r="Y118" s="15"/>
    </row>
    <row r="119" spans="25:25" ht="15.75" customHeight="1" x14ac:dyDescent="0.25">
      <c r="Y119" s="15"/>
    </row>
    <row r="120" spans="25:25" ht="15.75" customHeight="1" x14ac:dyDescent="0.25">
      <c r="Y120" s="15"/>
    </row>
    <row r="121" spans="25:25" ht="15.75" customHeight="1" x14ac:dyDescent="0.25">
      <c r="Y121" s="15"/>
    </row>
    <row r="122" spans="25:25" ht="15.75" customHeight="1" x14ac:dyDescent="0.25">
      <c r="Y122" s="15"/>
    </row>
    <row r="123" spans="25:25" ht="15.75" customHeight="1" x14ac:dyDescent="0.25">
      <c r="Y123" s="15"/>
    </row>
    <row r="124" spans="25:25" ht="15.75" customHeight="1" x14ac:dyDescent="0.25">
      <c r="Y124" s="15"/>
    </row>
    <row r="125" spans="25:25" ht="15.75" customHeight="1" x14ac:dyDescent="0.25">
      <c r="Y125" s="15"/>
    </row>
    <row r="126" spans="25:25" ht="15.75" customHeight="1" x14ac:dyDescent="0.25">
      <c r="Y126" s="15"/>
    </row>
    <row r="127" spans="25:25" ht="15.75" customHeight="1" x14ac:dyDescent="0.25">
      <c r="Y127" s="15"/>
    </row>
    <row r="128" spans="25:25" ht="15.75" customHeight="1" x14ac:dyDescent="0.25">
      <c r="Y128" s="15"/>
    </row>
    <row r="129" spans="25:25" ht="15.75" customHeight="1" x14ac:dyDescent="0.25">
      <c r="Y129" s="15"/>
    </row>
    <row r="130" spans="25:25" ht="15.75" customHeight="1" x14ac:dyDescent="0.25">
      <c r="Y130" s="15"/>
    </row>
    <row r="131" spans="25:25" ht="15.75" customHeight="1" x14ac:dyDescent="0.25">
      <c r="Y131" s="15"/>
    </row>
    <row r="132" spans="25:25" ht="15.75" customHeight="1" x14ac:dyDescent="0.25">
      <c r="Y132" s="15"/>
    </row>
    <row r="133" spans="25:25" ht="15.75" customHeight="1" x14ac:dyDescent="0.25">
      <c r="Y133" s="15"/>
    </row>
    <row r="134" spans="25:25" ht="15.75" customHeight="1" x14ac:dyDescent="0.25">
      <c r="Y134" s="15"/>
    </row>
    <row r="135" spans="25:25" ht="15.75" customHeight="1" x14ac:dyDescent="0.25">
      <c r="Y135" s="15"/>
    </row>
    <row r="136" spans="25:25" ht="15.75" customHeight="1" x14ac:dyDescent="0.25">
      <c r="Y136" s="15"/>
    </row>
    <row r="137" spans="25:25" ht="15.75" customHeight="1" x14ac:dyDescent="0.25">
      <c r="Y137" s="15"/>
    </row>
    <row r="138" spans="25:25" ht="15.75" customHeight="1" x14ac:dyDescent="0.25">
      <c r="Y138" s="15"/>
    </row>
    <row r="139" spans="25:25" ht="15.75" customHeight="1" x14ac:dyDescent="0.25">
      <c r="Y139" s="15"/>
    </row>
    <row r="140" spans="25:25" ht="15.75" customHeight="1" x14ac:dyDescent="0.25">
      <c r="Y140" s="15"/>
    </row>
    <row r="141" spans="25:25" ht="15.75" customHeight="1" x14ac:dyDescent="0.25">
      <c r="Y141" s="15"/>
    </row>
    <row r="142" spans="25:25" ht="15.75" customHeight="1" x14ac:dyDescent="0.25">
      <c r="Y142" s="15"/>
    </row>
    <row r="143" spans="25:25" ht="15.75" customHeight="1" x14ac:dyDescent="0.25">
      <c r="Y143" s="15"/>
    </row>
    <row r="144" spans="25:25" ht="15.75" customHeight="1" x14ac:dyDescent="0.25">
      <c r="Y144" s="15"/>
    </row>
    <row r="145" spans="25:25" ht="15.75" customHeight="1" x14ac:dyDescent="0.25">
      <c r="Y145" s="15"/>
    </row>
    <row r="146" spans="25:25" ht="15.75" customHeight="1" x14ac:dyDescent="0.25">
      <c r="Y146" s="15"/>
    </row>
    <row r="147" spans="25:25" ht="15.75" customHeight="1" x14ac:dyDescent="0.25">
      <c r="Y147" s="15"/>
    </row>
    <row r="148" spans="25:25" ht="15.75" customHeight="1" x14ac:dyDescent="0.25">
      <c r="Y148" s="15"/>
    </row>
    <row r="149" spans="25:25" ht="15.75" customHeight="1" x14ac:dyDescent="0.25">
      <c r="Y149" s="15"/>
    </row>
    <row r="150" spans="25:25" ht="15.75" customHeight="1" x14ac:dyDescent="0.25">
      <c r="Y150" s="15"/>
    </row>
    <row r="151" spans="25:25" ht="15.75" customHeight="1" x14ac:dyDescent="0.25">
      <c r="Y151" s="15"/>
    </row>
    <row r="152" spans="25:25" ht="15.75" customHeight="1" x14ac:dyDescent="0.25">
      <c r="Y152" s="15"/>
    </row>
    <row r="153" spans="25:25" ht="15.75" customHeight="1" x14ac:dyDescent="0.25">
      <c r="Y153" s="15"/>
    </row>
    <row r="154" spans="25:25" ht="15.75" customHeight="1" x14ac:dyDescent="0.25">
      <c r="Y154" s="15"/>
    </row>
    <row r="155" spans="25:25" ht="15.75" customHeight="1" x14ac:dyDescent="0.25">
      <c r="Y155" s="15"/>
    </row>
    <row r="156" spans="25:25" ht="15.75" customHeight="1" x14ac:dyDescent="0.25">
      <c r="Y156" s="15"/>
    </row>
    <row r="157" spans="25:25" ht="15.75" customHeight="1" x14ac:dyDescent="0.25">
      <c r="Y157" s="15"/>
    </row>
    <row r="158" spans="25:25" ht="15.75" customHeight="1" x14ac:dyDescent="0.25">
      <c r="Y158" s="15"/>
    </row>
    <row r="159" spans="25:25" ht="15.75" customHeight="1" x14ac:dyDescent="0.25">
      <c r="Y159" s="15"/>
    </row>
    <row r="160" spans="25:25" ht="15.75" customHeight="1" x14ac:dyDescent="0.25">
      <c r="Y160" s="15"/>
    </row>
    <row r="161" spans="25:25" ht="15.75" customHeight="1" x14ac:dyDescent="0.25">
      <c r="Y161" s="15"/>
    </row>
    <row r="162" spans="25:25" ht="15.75" customHeight="1" x14ac:dyDescent="0.25">
      <c r="Y162" s="15"/>
    </row>
    <row r="163" spans="25:25" ht="15.75" customHeight="1" x14ac:dyDescent="0.25">
      <c r="Y163" s="15"/>
    </row>
    <row r="164" spans="25:25" ht="15.75" customHeight="1" x14ac:dyDescent="0.25">
      <c r="Y164" s="15"/>
    </row>
    <row r="165" spans="25:25" ht="15.75" customHeight="1" x14ac:dyDescent="0.25">
      <c r="Y165" s="15"/>
    </row>
    <row r="166" spans="25:25" ht="15.75" customHeight="1" x14ac:dyDescent="0.25">
      <c r="Y166" s="15"/>
    </row>
    <row r="167" spans="25:25" ht="15.75" customHeight="1" x14ac:dyDescent="0.25">
      <c r="Y167" s="15"/>
    </row>
    <row r="168" spans="25:25" ht="15.75" customHeight="1" x14ac:dyDescent="0.25">
      <c r="Y168" s="15"/>
    </row>
    <row r="169" spans="25:25" ht="15.75" customHeight="1" x14ac:dyDescent="0.25">
      <c r="Y169" s="15"/>
    </row>
    <row r="170" spans="25:25" ht="15.75" customHeight="1" x14ac:dyDescent="0.25">
      <c r="Y170" s="15"/>
    </row>
    <row r="171" spans="25:25" ht="15.75" customHeight="1" x14ac:dyDescent="0.25">
      <c r="Y171" s="15"/>
    </row>
    <row r="172" spans="25:25" ht="15.75" customHeight="1" x14ac:dyDescent="0.25">
      <c r="Y172" s="15"/>
    </row>
    <row r="173" spans="25:25" ht="15.75" customHeight="1" x14ac:dyDescent="0.25">
      <c r="Y173" s="15"/>
    </row>
    <row r="174" spans="25:25" ht="15.75" customHeight="1" x14ac:dyDescent="0.25">
      <c r="Y174" s="15"/>
    </row>
    <row r="175" spans="25:25" ht="15.75" customHeight="1" x14ac:dyDescent="0.25">
      <c r="Y175" s="15"/>
    </row>
    <row r="176" spans="25:25" ht="15.75" customHeight="1" x14ac:dyDescent="0.25">
      <c r="Y176" s="15"/>
    </row>
    <row r="177" spans="25:25" ht="15.75" customHeight="1" x14ac:dyDescent="0.25">
      <c r="Y177" s="15"/>
    </row>
    <row r="178" spans="25:25" ht="15.75" customHeight="1" x14ac:dyDescent="0.25">
      <c r="Y178" s="15"/>
    </row>
    <row r="179" spans="25:25" ht="15.75" customHeight="1" x14ac:dyDescent="0.25">
      <c r="Y179" s="15"/>
    </row>
    <row r="180" spans="25:25" ht="15.75" customHeight="1" x14ac:dyDescent="0.25">
      <c r="Y180" s="15"/>
    </row>
    <row r="181" spans="25:25" ht="15.75" customHeight="1" x14ac:dyDescent="0.25">
      <c r="Y181" s="15"/>
    </row>
    <row r="182" spans="25:25" ht="15.75" customHeight="1" x14ac:dyDescent="0.25">
      <c r="Y182" s="15"/>
    </row>
    <row r="183" spans="25:25" ht="15.75" customHeight="1" x14ac:dyDescent="0.25">
      <c r="Y183" s="15"/>
    </row>
    <row r="184" spans="25:25" ht="15.75" customHeight="1" x14ac:dyDescent="0.25">
      <c r="Y184" s="15"/>
    </row>
    <row r="185" spans="25:25" ht="15.75" customHeight="1" x14ac:dyDescent="0.25">
      <c r="Y185" s="15"/>
    </row>
    <row r="186" spans="25:25" ht="15.75" customHeight="1" x14ac:dyDescent="0.25">
      <c r="Y186" s="15"/>
    </row>
    <row r="187" spans="25:25" ht="15.75" customHeight="1" x14ac:dyDescent="0.25">
      <c r="Y187" s="15"/>
    </row>
    <row r="188" spans="25:25" ht="15.75" customHeight="1" x14ac:dyDescent="0.25">
      <c r="Y188" s="15"/>
    </row>
    <row r="189" spans="25:25" ht="15.75" customHeight="1" x14ac:dyDescent="0.25">
      <c r="Y189" s="15"/>
    </row>
    <row r="190" spans="25:25" ht="15.75" customHeight="1" x14ac:dyDescent="0.25">
      <c r="Y190" s="15"/>
    </row>
    <row r="191" spans="25:25" ht="15.75" customHeight="1" x14ac:dyDescent="0.25">
      <c r="Y191" s="15"/>
    </row>
    <row r="192" spans="25:25" ht="15.75" customHeight="1" x14ac:dyDescent="0.25">
      <c r="Y192" s="15"/>
    </row>
    <row r="193" spans="25:25" ht="15.75" customHeight="1" x14ac:dyDescent="0.25">
      <c r="Y193" s="15"/>
    </row>
    <row r="194" spans="25:25" ht="15.75" customHeight="1" x14ac:dyDescent="0.25">
      <c r="Y194" s="15"/>
    </row>
    <row r="195" spans="25:25" ht="15.75" customHeight="1" x14ac:dyDescent="0.25">
      <c r="Y195" s="15"/>
    </row>
    <row r="196" spans="25:25" ht="15.75" customHeight="1" x14ac:dyDescent="0.25">
      <c r="Y196" s="15"/>
    </row>
    <row r="197" spans="25:25" ht="15.75" customHeight="1" x14ac:dyDescent="0.25">
      <c r="Y197" s="15"/>
    </row>
    <row r="198" spans="25:25" ht="15.75" customHeight="1" x14ac:dyDescent="0.25">
      <c r="Y198" s="15"/>
    </row>
    <row r="199" spans="25:25" ht="15.75" customHeight="1" x14ac:dyDescent="0.25">
      <c r="Y199" s="15"/>
    </row>
    <row r="200" spans="25:25" ht="15.75" customHeight="1" x14ac:dyDescent="0.25">
      <c r="Y200" s="15"/>
    </row>
    <row r="201" spans="25:25" ht="15.75" customHeight="1" x14ac:dyDescent="0.25">
      <c r="Y201" s="15"/>
    </row>
    <row r="202" spans="25:25" ht="15.75" customHeight="1" x14ac:dyDescent="0.25">
      <c r="Y202" s="15"/>
    </row>
    <row r="203" spans="25:25" ht="15.75" customHeight="1" x14ac:dyDescent="0.25">
      <c r="Y203" s="15"/>
    </row>
    <row r="204" spans="25:25" ht="15.75" customHeight="1" x14ac:dyDescent="0.25">
      <c r="Y204" s="15"/>
    </row>
    <row r="205" spans="25:25" ht="15.75" customHeight="1" x14ac:dyDescent="0.25">
      <c r="Y205" s="15"/>
    </row>
    <row r="206" spans="25:25" ht="15.75" customHeight="1" x14ac:dyDescent="0.25">
      <c r="Y206" s="15"/>
    </row>
    <row r="207" spans="25:25" ht="15.75" customHeight="1" x14ac:dyDescent="0.25">
      <c r="Y207" s="15"/>
    </row>
    <row r="208" spans="25:25" ht="15.75" customHeight="1" x14ac:dyDescent="0.25">
      <c r="Y208" s="15"/>
    </row>
    <row r="209" spans="25:25" ht="15.75" customHeight="1" x14ac:dyDescent="0.25">
      <c r="Y209" s="15"/>
    </row>
    <row r="210" spans="25:25" ht="15.75" customHeight="1" x14ac:dyDescent="0.25">
      <c r="Y210" s="15"/>
    </row>
    <row r="211" spans="25:25" ht="15.75" customHeight="1" x14ac:dyDescent="0.25">
      <c r="Y211" s="15"/>
    </row>
    <row r="212" spans="25:25" ht="15.75" customHeight="1" x14ac:dyDescent="0.25">
      <c r="Y212" s="15"/>
    </row>
    <row r="213" spans="25:25" ht="15.75" customHeight="1" x14ac:dyDescent="0.25">
      <c r="Y213" s="15"/>
    </row>
    <row r="214" spans="25:25" ht="15.75" customHeight="1" x14ac:dyDescent="0.25">
      <c r="Y214" s="15"/>
    </row>
    <row r="215" spans="25:25" ht="15.75" customHeight="1" x14ac:dyDescent="0.25">
      <c r="Y215" s="15"/>
    </row>
    <row r="216" spans="25:25" ht="15.75" customHeight="1" x14ac:dyDescent="0.25">
      <c r="Y216" s="15"/>
    </row>
    <row r="217" spans="25:25" ht="15.75" customHeight="1" x14ac:dyDescent="0.25">
      <c r="Y217" s="15"/>
    </row>
    <row r="218" spans="25:25" ht="15.75" customHeight="1" x14ac:dyDescent="0.25">
      <c r="Y218" s="15"/>
    </row>
    <row r="219" spans="25:25" ht="15.75" customHeight="1" x14ac:dyDescent="0.25">
      <c r="Y219" s="15"/>
    </row>
    <row r="220" spans="25:25" ht="15.75" customHeight="1" x14ac:dyDescent="0.25">
      <c r="Y220" s="15"/>
    </row>
    <row r="221" spans="25:25" ht="15.75" customHeight="1" x14ac:dyDescent="0.25">
      <c r="Y221" s="15"/>
    </row>
    <row r="222" spans="25:25" ht="15.75" customHeight="1" x14ac:dyDescent="0.25">
      <c r="Y222" s="15"/>
    </row>
    <row r="223" spans="25:25" ht="15.75" customHeight="1" x14ac:dyDescent="0.25">
      <c r="Y223" s="15"/>
    </row>
    <row r="224" spans="25:25" ht="15.75" customHeight="1" x14ac:dyDescent="0.25">
      <c r="Y224" s="15"/>
    </row>
    <row r="225" spans="25:25" ht="15.75" customHeight="1" x14ac:dyDescent="0.25">
      <c r="Y225" s="15"/>
    </row>
    <row r="226" spans="25:25" ht="15.75" customHeight="1" x14ac:dyDescent="0.25">
      <c r="Y226" s="15"/>
    </row>
    <row r="227" spans="25:25" ht="15.75" customHeight="1" x14ac:dyDescent="0.25">
      <c r="Y227" s="15"/>
    </row>
    <row r="228" spans="25:25" ht="15.75" customHeight="1" x14ac:dyDescent="0.25">
      <c r="Y228" s="15"/>
    </row>
    <row r="229" spans="25:25" ht="15.75" customHeight="1" x14ac:dyDescent="0.25">
      <c r="Y229" s="15"/>
    </row>
    <row r="230" spans="25:25" ht="15.75" customHeight="1" x14ac:dyDescent="0.25">
      <c r="Y230" s="15"/>
    </row>
    <row r="231" spans="25:25" ht="15.75" customHeight="1" x14ac:dyDescent="0.25">
      <c r="Y231" s="15"/>
    </row>
    <row r="232" spans="25:25" ht="15.75" customHeight="1" x14ac:dyDescent="0.25">
      <c r="Y232" s="15"/>
    </row>
    <row r="233" spans="25:25" ht="15.75" customHeight="1" x14ac:dyDescent="0.25">
      <c r="Y233" s="15"/>
    </row>
    <row r="234" spans="25:25" ht="15.75" customHeight="1" x14ac:dyDescent="0.25">
      <c r="Y234" s="15"/>
    </row>
    <row r="235" spans="25:25" ht="15.75" customHeight="1" x14ac:dyDescent="0.25">
      <c r="Y235" s="15"/>
    </row>
    <row r="236" spans="25:25" ht="15.75" customHeight="1" x14ac:dyDescent="0.25">
      <c r="Y236" s="15"/>
    </row>
    <row r="237" spans="25:25" ht="15.75" customHeight="1" x14ac:dyDescent="0.25">
      <c r="Y237" s="15"/>
    </row>
    <row r="238" spans="25:25" ht="15.75" customHeight="1" x14ac:dyDescent="0.25">
      <c r="Y238" s="15"/>
    </row>
    <row r="239" spans="25:25" ht="15.75" customHeight="1" x14ac:dyDescent="0.25">
      <c r="Y239" s="15"/>
    </row>
    <row r="240" spans="25:25" ht="15.75" customHeight="1" x14ac:dyDescent="0.25">
      <c r="Y240" s="15"/>
    </row>
    <row r="241" spans="25:25" ht="15.75" customHeight="1" x14ac:dyDescent="0.25">
      <c r="Y241" s="15"/>
    </row>
    <row r="242" spans="25:25" ht="15.75" customHeight="1" x14ac:dyDescent="0.25">
      <c r="Y242" s="15"/>
    </row>
    <row r="243" spans="25:25" ht="15.75" customHeight="1" x14ac:dyDescent="0.25">
      <c r="Y243" s="15"/>
    </row>
    <row r="244" spans="25:25" ht="15.75" customHeight="1" x14ac:dyDescent="0.25">
      <c r="Y244" s="15"/>
    </row>
    <row r="245" spans="25:25" ht="15.75" customHeight="1" x14ac:dyDescent="0.25">
      <c r="Y245" s="15"/>
    </row>
    <row r="246" spans="25:25" ht="15.75" customHeight="1" x14ac:dyDescent="0.25">
      <c r="Y246" s="15"/>
    </row>
    <row r="247" spans="25:25" ht="15.75" customHeight="1" x14ac:dyDescent="0.25">
      <c r="Y247" s="15"/>
    </row>
    <row r="248" spans="25:25" ht="15.75" customHeight="1" x14ac:dyDescent="0.25">
      <c r="Y248" s="15"/>
    </row>
    <row r="249" spans="25:25" ht="15.75" customHeight="1" x14ac:dyDescent="0.25">
      <c r="Y249" s="15"/>
    </row>
    <row r="250" spans="25:25" ht="15.75" customHeight="1" x14ac:dyDescent="0.25">
      <c r="Y250" s="15"/>
    </row>
    <row r="251" spans="25:25" ht="15.75" customHeight="1" x14ac:dyDescent="0.25">
      <c r="Y251" s="15"/>
    </row>
    <row r="252" spans="25:25" ht="15.75" customHeight="1" x14ac:dyDescent="0.25">
      <c r="Y252" s="15"/>
    </row>
    <row r="253" spans="25:25" ht="15.75" customHeight="1" x14ac:dyDescent="0.25">
      <c r="Y253" s="15"/>
    </row>
    <row r="254" spans="25:25" ht="15.75" customHeight="1" x14ac:dyDescent="0.25">
      <c r="Y254" s="15"/>
    </row>
    <row r="255" spans="25:25" ht="15.75" customHeight="1" x14ac:dyDescent="0.25">
      <c r="Y255" s="15"/>
    </row>
    <row r="256" spans="25:25" ht="15.75" customHeight="1" x14ac:dyDescent="0.25">
      <c r="Y256" s="15"/>
    </row>
    <row r="257" spans="25:25" ht="15.75" customHeight="1" x14ac:dyDescent="0.25">
      <c r="Y257" s="15"/>
    </row>
    <row r="258" spans="25:25" ht="15.75" customHeight="1" x14ac:dyDescent="0.25">
      <c r="Y258" s="15"/>
    </row>
    <row r="259" spans="25:25" ht="15.75" customHeight="1" x14ac:dyDescent="0.25">
      <c r="Y259" s="15"/>
    </row>
    <row r="260" spans="25:25" ht="15.75" customHeight="1" x14ac:dyDescent="0.25">
      <c r="Y260" s="15"/>
    </row>
    <row r="261" spans="25:25" ht="15.75" customHeight="1" x14ac:dyDescent="0.25">
      <c r="Y261" s="15"/>
    </row>
    <row r="262" spans="25:25" ht="15.75" customHeight="1" x14ac:dyDescent="0.25">
      <c r="Y262" s="15"/>
    </row>
    <row r="263" spans="25:25" ht="15.75" customHeight="1" x14ac:dyDescent="0.25">
      <c r="Y263" s="15"/>
    </row>
    <row r="264" spans="25:25" ht="15.75" customHeight="1" x14ac:dyDescent="0.25">
      <c r="Y264" s="15"/>
    </row>
    <row r="265" spans="25:25" ht="15.75" customHeight="1" x14ac:dyDescent="0.25">
      <c r="Y265" s="15"/>
    </row>
    <row r="266" spans="25:25" ht="15.75" customHeight="1" x14ac:dyDescent="0.25">
      <c r="Y266" s="15"/>
    </row>
    <row r="267" spans="25:25" ht="15.75" customHeight="1" x14ac:dyDescent="0.25">
      <c r="Y267" s="15"/>
    </row>
    <row r="268" spans="25:25" ht="15.75" customHeight="1" x14ac:dyDescent="0.25">
      <c r="Y268" s="15"/>
    </row>
    <row r="269" spans="25:25" ht="15.75" customHeight="1" x14ac:dyDescent="0.25">
      <c r="Y269" s="15"/>
    </row>
    <row r="270" spans="25:25" ht="15.75" customHeight="1" x14ac:dyDescent="0.25">
      <c r="Y270" s="15"/>
    </row>
    <row r="271" spans="25:25" ht="15.75" customHeight="1" x14ac:dyDescent="0.25">
      <c r="Y271" s="15"/>
    </row>
    <row r="272" spans="25:25" ht="15.75" customHeight="1" x14ac:dyDescent="0.25">
      <c r="Y272" s="15"/>
    </row>
    <row r="273" spans="25:25" ht="15.75" customHeight="1" x14ac:dyDescent="0.25">
      <c r="Y273" s="15"/>
    </row>
    <row r="274" spans="25:25" ht="15.75" customHeight="1" x14ac:dyDescent="0.25">
      <c r="Y274" s="15"/>
    </row>
    <row r="275" spans="25:25" ht="15.75" customHeight="1" x14ac:dyDescent="0.25">
      <c r="Y275" s="15"/>
    </row>
    <row r="276" spans="25:25" ht="15.75" customHeight="1" x14ac:dyDescent="0.25">
      <c r="Y276" s="15"/>
    </row>
    <row r="277" spans="25:25" ht="15.75" customHeight="1" x14ac:dyDescent="0.25">
      <c r="Y277" s="15"/>
    </row>
    <row r="278" spans="25:25" ht="15.75" customHeight="1" x14ac:dyDescent="0.25">
      <c r="Y278" s="15"/>
    </row>
    <row r="279" spans="25:25" ht="15.75" customHeight="1" x14ac:dyDescent="0.25">
      <c r="Y279" s="15"/>
    </row>
    <row r="280" spans="25:25" ht="15.75" customHeight="1" x14ac:dyDescent="0.25">
      <c r="Y280" s="15"/>
    </row>
    <row r="281" spans="25:25" ht="15.75" customHeight="1" x14ac:dyDescent="0.25">
      <c r="Y281" s="15"/>
    </row>
    <row r="282" spans="25:25" ht="15.75" customHeight="1" x14ac:dyDescent="0.25">
      <c r="Y282" s="15"/>
    </row>
    <row r="283" spans="25:25" ht="15.75" customHeight="1" x14ac:dyDescent="0.25">
      <c r="Y283" s="15"/>
    </row>
    <row r="284" spans="25:25" ht="15.75" customHeight="1" x14ac:dyDescent="0.25">
      <c r="Y284" s="15"/>
    </row>
    <row r="285" spans="25:25" ht="15.75" customHeight="1" x14ac:dyDescent="0.25">
      <c r="Y285" s="15"/>
    </row>
    <row r="286" spans="25:25" ht="15.75" customHeight="1" x14ac:dyDescent="0.25">
      <c r="Y286" s="15"/>
    </row>
    <row r="287" spans="25:25" ht="15.75" customHeight="1" x14ac:dyDescent="0.25">
      <c r="Y287" s="15"/>
    </row>
    <row r="288" spans="25:25" ht="15.75" customHeight="1" x14ac:dyDescent="0.25">
      <c r="Y288" s="15"/>
    </row>
    <row r="289" spans="25:25" ht="15.75" customHeight="1" x14ac:dyDescent="0.25">
      <c r="Y289" s="15"/>
    </row>
    <row r="290" spans="25:25" ht="15.75" customHeight="1" x14ac:dyDescent="0.25">
      <c r="Y290" s="15"/>
    </row>
    <row r="291" spans="25:25" ht="15.75" customHeight="1" x14ac:dyDescent="0.25">
      <c r="Y291" s="15"/>
    </row>
    <row r="292" spans="25:25" ht="15.75" customHeight="1" x14ac:dyDescent="0.25">
      <c r="Y292" s="15"/>
    </row>
    <row r="293" spans="25:25" ht="15.75" customHeight="1" x14ac:dyDescent="0.25">
      <c r="Y293" s="15"/>
    </row>
    <row r="294" spans="25:25" ht="15.75" customHeight="1" x14ac:dyDescent="0.25">
      <c r="Y294" s="15"/>
    </row>
    <row r="295" spans="25:25" ht="15.75" customHeight="1" x14ac:dyDescent="0.25">
      <c r="Y295" s="15"/>
    </row>
    <row r="296" spans="25:25" ht="15.75" customHeight="1" x14ac:dyDescent="0.25">
      <c r="Y296" s="15"/>
    </row>
    <row r="297" spans="25:25" ht="15.75" customHeight="1" x14ac:dyDescent="0.25">
      <c r="Y297" s="15"/>
    </row>
    <row r="298" spans="25:25" ht="15.75" customHeight="1" x14ac:dyDescent="0.25">
      <c r="Y298" s="15"/>
    </row>
    <row r="299" spans="25:25" ht="15.75" customHeight="1" x14ac:dyDescent="0.25">
      <c r="Y299" s="15"/>
    </row>
    <row r="300" spans="25:25" ht="15.75" customHeight="1" x14ac:dyDescent="0.25">
      <c r="Y300" s="15"/>
    </row>
    <row r="301" spans="25:25" ht="15.75" customHeight="1" x14ac:dyDescent="0.25">
      <c r="Y301" s="15"/>
    </row>
    <row r="302" spans="25:25" ht="15.75" customHeight="1" x14ac:dyDescent="0.25">
      <c r="Y302" s="15"/>
    </row>
    <row r="303" spans="25:25" ht="15.75" customHeight="1" x14ac:dyDescent="0.25">
      <c r="Y303" s="15"/>
    </row>
    <row r="304" spans="25:25" ht="15.75" customHeight="1" x14ac:dyDescent="0.25">
      <c r="Y304" s="15"/>
    </row>
    <row r="305" spans="25:25" ht="15.75" customHeight="1" x14ac:dyDescent="0.25">
      <c r="Y305" s="15"/>
    </row>
    <row r="306" spans="25:25" ht="15.75" customHeight="1" x14ac:dyDescent="0.25">
      <c r="Y306" s="15"/>
    </row>
    <row r="307" spans="25:25" ht="15.75" customHeight="1" x14ac:dyDescent="0.25">
      <c r="Y307" s="15"/>
    </row>
    <row r="308" spans="25:25" ht="15.75" customHeight="1" x14ac:dyDescent="0.25">
      <c r="Y308" s="15"/>
    </row>
    <row r="309" spans="25:25" ht="15.75" customHeight="1" x14ac:dyDescent="0.25">
      <c r="Y309" s="15"/>
    </row>
    <row r="310" spans="25:25" ht="15.75" customHeight="1" x14ac:dyDescent="0.25">
      <c r="Y310" s="15"/>
    </row>
    <row r="311" spans="25:25" ht="15.75" customHeight="1" x14ac:dyDescent="0.25">
      <c r="Y311" s="15"/>
    </row>
    <row r="312" spans="25:25" ht="15.75" customHeight="1" x14ac:dyDescent="0.25">
      <c r="Y312" s="15"/>
    </row>
    <row r="313" spans="25:25" ht="15.75" customHeight="1" x14ac:dyDescent="0.25">
      <c r="Y313" s="15"/>
    </row>
    <row r="314" spans="25:25" ht="15.75" customHeight="1" x14ac:dyDescent="0.25">
      <c r="Y314" s="15"/>
    </row>
    <row r="315" spans="25:25" ht="15.75" customHeight="1" x14ac:dyDescent="0.25">
      <c r="Y315" s="15"/>
    </row>
    <row r="316" spans="25:25" ht="15.75" customHeight="1" x14ac:dyDescent="0.25">
      <c r="Y316" s="15"/>
    </row>
    <row r="317" spans="25:25" ht="15.75" customHeight="1" x14ac:dyDescent="0.25">
      <c r="Y317" s="15"/>
    </row>
    <row r="318" spans="25:25" ht="15.75" customHeight="1" x14ac:dyDescent="0.25">
      <c r="Y318" s="15"/>
    </row>
    <row r="319" spans="25:25" ht="15.75" customHeight="1" x14ac:dyDescent="0.25">
      <c r="Y319" s="15"/>
    </row>
    <row r="320" spans="25:25" ht="15.75" customHeight="1" x14ac:dyDescent="0.25">
      <c r="Y320" s="15"/>
    </row>
    <row r="321" spans="25:25" ht="15.75" customHeight="1" x14ac:dyDescent="0.25">
      <c r="Y321" s="15"/>
    </row>
    <row r="322" spans="25:25" ht="15.75" customHeight="1" x14ac:dyDescent="0.25">
      <c r="Y322" s="15"/>
    </row>
    <row r="323" spans="25:25" ht="15.75" customHeight="1" x14ac:dyDescent="0.25">
      <c r="Y323" s="15"/>
    </row>
    <row r="324" spans="25:25" ht="15.75" customHeight="1" x14ac:dyDescent="0.25">
      <c r="Y324" s="15"/>
    </row>
    <row r="325" spans="25:25" ht="15.75" customHeight="1" x14ac:dyDescent="0.25">
      <c r="Y325" s="15"/>
    </row>
    <row r="326" spans="25:25" ht="15.75" customHeight="1" x14ac:dyDescent="0.25">
      <c r="Y326" s="15"/>
    </row>
    <row r="327" spans="25:25" ht="15.75" customHeight="1" x14ac:dyDescent="0.25">
      <c r="Y327" s="15"/>
    </row>
    <row r="328" spans="25:25" ht="15.75" customHeight="1" x14ac:dyDescent="0.25">
      <c r="Y328" s="15"/>
    </row>
    <row r="329" spans="25:25" ht="15.75" customHeight="1" x14ac:dyDescent="0.25">
      <c r="Y329" s="15"/>
    </row>
    <row r="330" spans="25:25" ht="15.75" customHeight="1" x14ac:dyDescent="0.25">
      <c r="Y330" s="15"/>
    </row>
    <row r="331" spans="25:25" ht="15.75" customHeight="1" x14ac:dyDescent="0.25">
      <c r="Y331" s="15"/>
    </row>
    <row r="332" spans="25:25" ht="15.75" customHeight="1" x14ac:dyDescent="0.25">
      <c r="Y332" s="15"/>
    </row>
    <row r="333" spans="25:25" ht="15.75" customHeight="1" x14ac:dyDescent="0.25">
      <c r="Y333" s="15"/>
    </row>
    <row r="334" spans="25:25" ht="15.75" customHeight="1" x14ac:dyDescent="0.25">
      <c r="Y334" s="15"/>
    </row>
    <row r="335" spans="25:25" ht="15.75" customHeight="1" x14ac:dyDescent="0.25">
      <c r="Y335" s="15"/>
    </row>
    <row r="336" spans="25:25" ht="15.75" customHeight="1" x14ac:dyDescent="0.25">
      <c r="Y336" s="15"/>
    </row>
    <row r="337" spans="25:25" ht="15.75" customHeight="1" x14ac:dyDescent="0.25">
      <c r="Y337" s="15"/>
    </row>
    <row r="338" spans="25:25" ht="15.75" customHeight="1" x14ac:dyDescent="0.25">
      <c r="Y338" s="15"/>
    </row>
    <row r="339" spans="25:25" ht="15.75" customHeight="1" x14ac:dyDescent="0.25">
      <c r="Y339" s="15"/>
    </row>
    <row r="340" spans="25:25" ht="15.75" customHeight="1" x14ac:dyDescent="0.25">
      <c r="Y340" s="15"/>
    </row>
    <row r="341" spans="25:25" ht="15.75" customHeight="1" x14ac:dyDescent="0.25">
      <c r="Y341" s="15"/>
    </row>
    <row r="342" spans="25:25" ht="15.75" customHeight="1" x14ac:dyDescent="0.25">
      <c r="Y342" s="15"/>
    </row>
    <row r="343" spans="25:25" ht="15.75" customHeight="1" x14ac:dyDescent="0.25">
      <c r="Y343" s="15"/>
    </row>
    <row r="344" spans="25:25" ht="15.75" customHeight="1" x14ac:dyDescent="0.25">
      <c r="Y344" s="15"/>
    </row>
    <row r="345" spans="25:25" ht="15.75" customHeight="1" x14ac:dyDescent="0.25">
      <c r="Y345" s="15"/>
    </row>
    <row r="346" spans="25:25" ht="15.75" customHeight="1" x14ac:dyDescent="0.25">
      <c r="Y346" s="15"/>
    </row>
    <row r="347" spans="25:25" ht="15.75" customHeight="1" x14ac:dyDescent="0.25">
      <c r="Y347" s="15"/>
    </row>
    <row r="348" spans="25:25" ht="15.75" customHeight="1" x14ac:dyDescent="0.25">
      <c r="Y348" s="15"/>
    </row>
    <row r="349" spans="25:25" ht="15.75" customHeight="1" x14ac:dyDescent="0.25">
      <c r="Y349" s="15"/>
    </row>
    <row r="350" spans="25:25" ht="15.75" customHeight="1" x14ac:dyDescent="0.25">
      <c r="Y350" s="15"/>
    </row>
    <row r="351" spans="25:25" ht="15.75" customHeight="1" x14ac:dyDescent="0.25">
      <c r="Y351" s="15"/>
    </row>
    <row r="352" spans="25:25" ht="15.75" customHeight="1" x14ac:dyDescent="0.25">
      <c r="Y352" s="15"/>
    </row>
    <row r="353" spans="25:25" ht="15.75" customHeight="1" x14ac:dyDescent="0.25">
      <c r="Y353" s="15"/>
    </row>
    <row r="354" spans="25:25" ht="15.75" customHeight="1" x14ac:dyDescent="0.25">
      <c r="Y354" s="15"/>
    </row>
    <row r="355" spans="25:25" ht="15.75" customHeight="1" x14ac:dyDescent="0.25">
      <c r="Y355" s="15"/>
    </row>
    <row r="356" spans="25:25" ht="15.75" customHeight="1" x14ac:dyDescent="0.25">
      <c r="Y356" s="15"/>
    </row>
    <row r="357" spans="25:25" ht="15.75" customHeight="1" x14ac:dyDescent="0.25">
      <c r="Y357" s="15"/>
    </row>
    <row r="358" spans="25:25" ht="15.75" customHeight="1" x14ac:dyDescent="0.25">
      <c r="Y358" s="15"/>
    </row>
    <row r="359" spans="25:25" ht="15.75" customHeight="1" x14ac:dyDescent="0.25">
      <c r="Y359" s="15"/>
    </row>
    <row r="360" spans="25:25" ht="15.75" customHeight="1" x14ac:dyDescent="0.25">
      <c r="Y360" s="15"/>
    </row>
    <row r="361" spans="25:25" ht="15.75" customHeight="1" x14ac:dyDescent="0.25">
      <c r="Y361" s="15"/>
    </row>
    <row r="362" spans="25:25" ht="15.75" customHeight="1" x14ac:dyDescent="0.25">
      <c r="Y362" s="15"/>
    </row>
    <row r="363" spans="25:25" ht="15.75" customHeight="1" x14ac:dyDescent="0.25">
      <c r="Y363" s="15"/>
    </row>
    <row r="364" spans="25:25" ht="15.75" customHeight="1" x14ac:dyDescent="0.25">
      <c r="Y364" s="15"/>
    </row>
    <row r="365" spans="25:25" ht="15.75" customHeight="1" x14ac:dyDescent="0.25">
      <c r="Y365" s="15"/>
    </row>
    <row r="366" spans="25:25" ht="15.75" customHeight="1" x14ac:dyDescent="0.25">
      <c r="Y366" s="15"/>
    </row>
    <row r="367" spans="25:25" ht="15.75" customHeight="1" x14ac:dyDescent="0.25">
      <c r="Y367" s="15"/>
    </row>
    <row r="368" spans="25:25" ht="15.75" customHeight="1" x14ac:dyDescent="0.25">
      <c r="Y368" s="15"/>
    </row>
    <row r="369" spans="25:25" ht="15.75" customHeight="1" x14ac:dyDescent="0.25">
      <c r="Y369" s="15"/>
    </row>
    <row r="370" spans="25:25" ht="15.75" customHeight="1" x14ac:dyDescent="0.25">
      <c r="Y370" s="15"/>
    </row>
    <row r="371" spans="25:25" ht="15.75" customHeight="1" x14ac:dyDescent="0.25">
      <c r="Y371" s="15"/>
    </row>
    <row r="372" spans="25:25" ht="15.75" customHeight="1" x14ac:dyDescent="0.25">
      <c r="Y372" s="15"/>
    </row>
    <row r="373" spans="25:25" ht="15.75" customHeight="1" x14ac:dyDescent="0.25">
      <c r="Y373" s="15"/>
    </row>
    <row r="374" spans="25:25" ht="15.75" customHeight="1" x14ac:dyDescent="0.25">
      <c r="Y374" s="15"/>
    </row>
    <row r="375" spans="25:25" ht="15.75" customHeight="1" x14ac:dyDescent="0.25">
      <c r="Y375" s="15"/>
    </row>
    <row r="376" spans="25:25" ht="15.75" customHeight="1" x14ac:dyDescent="0.25">
      <c r="Y376" s="15"/>
    </row>
    <row r="377" spans="25:25" ht="15.75" customHeight="1" x14ac:dyDescent="0.25">
      <c r="Y377" s="15"/>
    </row>
    <row r="378" spans="25:25" ht="15.75" customHeight="1" x14ac:dyDescent="0.25">
      <c r="Y378" s="15"/>
    </row>
    <row r="379" spans="25:25" ht="15.75" customHeight="1" x14ac:dyDescent="0.25">
      <c r="Y379" s="15"/>
    </row>
    <row r="380" spans="25:25" ht="15.75" customHeight="1" x14ac:dyDescent="0.25">
      <c r="Y380" s="15"/>
    </row>
    <row r="381" spans="25:25" ht="15.75" customHeight="1" x14ac:dyDescent="0.25">
      <c r="Y381" s="15"/>
    </row>
    <row r="382" spans="25:25" ht="15.75" customHeight="1" x14ac:dyDescent="0.25">
      <c r="Y382" s="15"/>
    </row>
    <row r="383" spans="25:25" ht="15.75" customHeight="1" x14ac:dyDescent="0.25">
      <c r="Y383" s="15"/>
    </row>
    <row r="384" spans="25:25" ht="15.75" customHeight="1" x14ac:dyDescent="0.25">
      <c r="Y384" s="15"/>
    </row>
    <row r="385" spans="25:25" ht="15.75" customHeight="1" x14ac:dyDescent="0.25">
      <c r="Y385" s="15"/>
    </row>
    <row r="386" spans="25:25" ht="15.75" customHeight="1" x14ac:dyDescent="0.25">
      <c r="Y386" s="15"/>
    </row>
    <row r="387" spans="25:25" ht="15.75" customHeight="1" x14ac:dyDescent="0.25">
      <c r="Y387" s="15"/>
    </row>
    <row r="388" spans="25:25" ht="15.75" customHeight="1" x14ac:dyDescent="0.25">
      <c r="Y388" s="15"/>
    </row>
    <row r="389" spans="25:25" ht="15.75" customHeight="1" x14ac:dyDescent="0.25">
      <c r="Y389" s="15"/>
    </row>
    <row r="390" spans="25:25" ht="15.75" customHeight="1" x14ac:dyDescent="0.25">
      <c r="Y390" s="15"/>
    </row>
    <row r="391" spans="25:25" ht="15.75" customHeight="1" x14ac:dyDescent="0.25">
      <c r="Y391" s="15"/>
    </row>
    <row r="392" spans="25:25" ht="15.75" customHeight="1" x14ac:dyDescent="0.25">
      <c r="Y392" s="15"/>
    </row>
    <row r="393" spans="25:25" ht="15.75" customHeight="1" x14ac:dyDescent="0.25">
      <c r="Y393" s="15"/>
    </row>
    <row r="394" spans="25:25" ht="15.75" customHeight="1" x14ac:dyDescent="0.25">
      <c r="Y394" s="15"/>
    </row>
    <row r="395" spans="25:25" ht="15.75" customHeight="1" x14ac:dyDescent="0.25">
      <c r="Y395" s="15"/>
    </row>
    <row r="396" spans="25:25" ht="15.75" customHeight="1" x14ac:dyDescent="0.25">
      <c r="Y396" s="15"/>
    </row>
    <row r="397" spans="25:25" ht="15.75" customHeight="1" x14ac:dyDescent="0.25">
      <c r="Y397" s="15"/>
    </row>
    <row r="398" spans="25:25" ht="15.75" customHeight="1" x14ac:dyDescent="0.25">
      <c r="Y398" s="15"/>
    </row>
    <row r="399" spans="25:25" ht="15.75" customHeight="1" x14ac:dyDescent="0.25">
      <c r="Y399" s="15"/>
    </row>
    <row r="400" spans="25:25" ht="15.75" customHeight="1" x14ac:dyDescent="0.25">
      <c r="Y400" s="15"/>
    </row>
    <row r="401" spans="25:25" ht="15.75" customHeight="1" x14ac:dyDescent="0.25">
      <c r="Y401" s="15"/>
    </row>
    <row r="402" spans="25:25" ht="15.75" customHeight="1" x14ac:dyDescent="0.25">
      <c r="Y402" s="15"/>
    </row>
    <row r="403" spans="25:25" ht="15.75" customHeight="1" x14ac:dyDescent="0.25">
      <c r="Y403" s="15"/>
    </row>
    <row r="404" spans="25:25" ht="15.75" customHeight="1" x14ac:dyDescent="0.25">
      <c r="Y404" s="15"/>
    </row>
    <row r="405" spans="25:25" ht="15.75" customHeight="1" x14ac:dyDescent="0.25">
      <c r="Y405" s="15"/>
    </row>
    <row r="406" spans="25:25" ht="15.75" customHeight="1" x14ac:dyDescent="0.25">
      <c r="Y406" s="15"/>
    </row>
    <row r="407" spans="25:25" ht="15.75" customHeight="1" x14ac:dyDescent="0.25">
      <c r="Y407" s="15"/>
    </row>
    <row r="408" spans="25:25" ht="15.75" customHeight="1" x14ac:dyDescent="0.25">
      <c r="Y408" s="15"/>
    </row>
    <row r="409" spans="25:25" ht="15.75" customHeight="1" x14ac:dyDescent="0.25">
      <c r="Y409" s="15"/>
    </row>
    <row r="410" spans="25:25" ht="15.75" customHeight="1" x14ac:dyDescent="0.25">
      <c r="Y410" s="15"/>
    </row>
    <row r="411" spans="25:25" ht="15.75" customHeight="1" x14ac:dyDescent="0.25">
      <c r="Y411" s="15"/>
    </row>
    <row r="412" spans="25:25" ht="15.75" customHeight="1" x14ac:dyDescent="0.25">
      <c r="Y412" s="15"/>
    </row>
    <row r="413" spans="25:25" ht="15.75" customHeight="1" x14ac:dyDescent="0.25">
      <c r="Y413" s="15"/>
    </row>
    <row r="414" spans="25:25" ht="15.75" customHeight="1" x14ac:dyDescent="0.25">
      <c r="Y414" s="15"/>
    </row>
    <row r="415" spans="25:25" ht="15.75" customHeight="1" x14ac:dyDescent="0.25">
      <c r="Y415" s="15"/>
    </row>
    <row r="416" spans="25:25" ht="15.75" customHeight="1" x14ac:dyDescent="0.25">
      <c r="Y416" s="15"/>
    </row>
    <row r="417" spans="25:25" ht="15.75" customHeight="1" x14ac:dyDescent="0.25">
      <c r="Y417" s="15"/>
    </row>
    <row r="418" spans="25:25" ht="15.75" customHeight="1" x14ac:dyDescent="0.25">
      <c r="Y418" s="15"/>
    </row>
    <row r="419" spans="25:25" ht="15.75" customHeight="1" x14ac:dyDescent="0.25">
      <c r="Y419" s="15"/>
    </row>
    <row r="420" spans="25:25" ht="15.75" customHeight="1" x14ac:dyDescent="0.25">
      <c r="Y420" s="15"/>
    </row>
    <row r="421" spans="25:25" ht="15.75" customHeight="1" x14ac:dyDescent="0.25">
      <c r="Y421" s="15"/>
    </row>
    <row r="422" spans="25:25" ht="15.75" customHeight="1" x14ac:dyDescent="0.25">
      <c r="Y422" s="15"/>
    </row>
    <row r="423" spans="25:25" ht="15.75" customHeight="1" x14ac:dyDescent="0.25">
      <c r="Y423" s="15"/>
    </row>
    <row r="424" spans="25:25" ht="15.75" customHeight="1" x14ac:dyDescent="0.25">
      <c r="Y424" s="15"/>
    </row>
    <row r="425" spans="25:25" ht="15.75" customHeight="1" x14ac:dyDescent="0.25">
      <c r="Y425" s="15"/>
    </row>
    <row r="426" spans="25:25" ht="15.75" customHeight="1" x14ac:dyDescent="0.25">
      <c r="Y426" s="15"/>
    </row>
    <row r="427" spans="25:25" ht="15.75" customHeight="1" x14ac:dyDescent="0.25">
      <c r="Y427" s="15"/>
    </row>
    <row r="428" spans="25:25" ht="15.75" customHeight="1" x14ac:dyDescent="0.25">
      <c r="Y428" s="15"/>
    </row>
    <row r="429" spans="25:25" ht="15.75" customHeight="1" x14ac:dyDescent="0.25">
      <c r="Y429" s="15"/>
    </row>
    <row r="430" spans="25:25" ht="15.75" customHeight="1" x14ac:dyDescent="0.25">
      <c r="Y430" s="15"/>
    </row>
    <row r="431" spans="25:25" ht="15.75" customHeight="1" x14ac:dyDescent="0.25">
      <c r="Y431" s="15"/>
    </row>
    <row r="432" spans="25:25" ht="15.75" customHeight="1" x14ac:dyDescent="0.25">
      <c r="Y432" s="15"/>
    </row>
    <row r="433" spans="25:25" ht="15.75" customHeight="1" x14ac:dyDescent="0.25">
      <c r="Y433" s="15"/>
    </row>
    <row r="434" spans="25:25" ht="15.75" customHeight="1" x14ac:dyDescent="0.25">
      <c r="Y434" s="15"/>
    </row>
    <row r="435" spans="25:25" ht="15.75" customHeight="1" x14ac:dyDescent="0.25">
      <c r="Y435" s="15"/>
    </row>
    <row r="436" spans="25:25" ht="15.75" customHeight="1" x14ac:dyDescent="0.25">
      <c r="Y436" s="15"/>
    </row>
    <row r="437" spans="25:25" ht="15.75" customHeight="1" x14ac:dyDescent="0.25">
      <c r="Y437" s="15"/>
    </row>
    <row r="438" spans="25:25" ht="15.75" customHeight="1" x14ac:dyDescent="0.25">
      <c r="Y438" s="15"/>
    </row>
    <row r="439" spans="25:25" ht="15.75" customHeight="1" x14ac:dyDescent="0.25">
      <c r="Y439" s="15"/>
    </row>
    <row r="440" spans="25:25" ht="15.75" customHeight="1" x14ac:dyDescent="0.25">
      <c r="Y440" s="15"/>
    </row>
    <row r="441" spans="25:25" ht="15.75" customHeight="1" x14ac:dyDescent="0.25">
      <c r="Y441" s="15"/>
    </row>
    <row r="442" spans="25:25" ht="15.75" customHeight="1" x14ac:dyDescent="0.25">
      <c r="Y442" s="15"/>
    </row>
    <row r="443" spans="25:25" ht="15.75" customHeight="1" x14ac:dyDescent="0.25">
      <c r="Y443" s="15"/>
    </row>
    <row r="444" spans="25:25" ht="15.75" customHeight="1" x14ac:dyDescent="0.25">
      <c r="Y444" s="15"/>
    </row>
    <row r="445" spans="25:25" ht="15.75" customHeight="1" x14ac:dyDescent="0.25">
      <c r="Y445" s="15"/>
    </row>
    <row r="446" spans="25:25" ht="15.75" customHeight="1" x14ac:dyDescent="0.25">
      <c r="Y446" s="15"/>
    </row>
    <row r="447" spans="25:25" ht="15.75" customHeight="1" x14ac:dyDescent="0.25">
      <c r="Y447" s="15"/>
    </row>
    <row r="448" spans="25:25" ht="15.75" customHeight="1" x14ac:dyDescent="0.25">
      <c r="Y448" s="15"/>
    </row>
    <row r="449" spans="25:25" ht="15.75" customHeight="1" x14ac:dyDescent="0.25">
      <c r="Y449" s="15"/>
    </row>
    <row r="450" spans="25:25" ht="15.75" customHeight="1" x14ac:dyDescent="0.25">
      <c r="Y450" s="15"/>
    </row>
    <row r="451" spans="25:25" ht="15.75" customHeight="1" x14ac:dyDescent="0.25">
      <c r="Y451" s="15"/>
    </row>
    <row r="452" spans="25:25" ht="15.75" customHeight="1" x14ac:dyDescent="0.25">
      <c r="Y452" s="15"/>
    </row>
    <row r="453" spans="25:25" ht="15.75" customHeight="1" x14ac:dyDescent="0.25">
      <c r="Y453" s="15"/>
    </row>
    <row r="454" spans="25:25" ht="15.75" customHeight="1" x14ac:dyDescent="0.25">
      <c r="Y454" s="15"/>
    </row>
    <row r="455" spans="25:25" ht="15.75" customHeight="1" x14ac:dyDescent="0.25">
      <c r="Y455" s="15"/>
    </row>
    <row r="456" spans="25:25" ht="15.75" customHeight="1" x14ac:dyDescent="0.25">
      <c r="Y456" s="15"/>
    </row>
    <row r="457" spans="25:25" ht="15.75" customHeight="1" x14ac:dyDescent="0.25">
      <c r="Y457" s="15"/>
    </row>
    <row r="458" spans="25:25" ht="15.75" customHeight="1" x14ac:dyDescent="0.25">
      <c r="Y458" s="15"/>
    </row>
    <row r="459" spans="25:25" ht="15.75" customHeight="1" x14ac:dyDescent="0.25">
      <c r="Y459" s="15"/>
    </row>
    <row r="460" spans="25:25" ht="15.75" customHeight="1" x14ac:dyDescent="0.25">
      <c r="Y460" s="15"/>
    </row>
    <row r="461" spans="25:25" ht="15.75" customHeight="1" x14ac:dyDescent="0.25">
      <c r="Y461" s="15"/>
    </row>
    <row r="462" spans="25:25" ht="15.75" customHeight="1" x14ac:dyDescent="0.25">
      <c r="Y462" s="15"/>
    </row>
    <row r="463" spans="25:25" ht="15.75" customHeight="1" x14ac:dyDescent="0.25">
      <c r="Y463" s="15"/>
    </row>
    <row r="464" spans="25:25" ht="15.75" customHeight="1" x14ac:dyDescent="0.25">
      <c r="Y464" s="15"/>
    </row>
    <row r="465" spans="25:25" ht="15.75" customHeight="1" x14ac:dyDescent="0.25">
      <c r="Y465" s="15"/>
    </row>
    <row r="466" spans="25:25" ht="15.75" customHeight="1" x14ac:dyDescent="0.25">
      <c r="Y466" s="15"/>
    </row>
    <row r="467" spans="25:25" ht="15.75" customHeight="1" x14ac:dyDescent="0.25">
      <c r="Y467" s="15"/>
    </row>
    <row r="468" spans="25:25" ht="15.75" customHeight="1" x14ac:dyDescent="0.25">
      <c r="Y468" s="15"/>
    </row>
    <row r="469" spans="25:25" ht="15.75" customHeight="1" x14ac:dyDescent="0.25">
      <c r="Y469" s="15"/>
    </row>
    <row r="470" spans="25:25" ht="15.75" customHeight="1" x14ac:dyDescent="0.25">
      <c r="Y470" s="15"/>
    </row>
    <row r="471" spans="25:25" ht="15.75" customHeight="1" x14ac:dyDescent="0.25">
      <c r="Y471" s="15"/>
    </row>
    <row r="472" spans="25:25" ht="15.75" customHeight="1" x14ac:dyDescent="0.25">
      <c r="Y472" s="15"/>
    </row>
    <row r="473" spans="25:25" ht="15.75" customHeight="1" x14ac:dyDescent="0.25">
      <c r="Y473" s="15"/>
    </row>
    <row r="474" spans="25:25" ht="15.75" customHeight="1" x14ac:dyDescent="0.25">
      <c r="Y474" s="15"/>
    </row>
    <row r="475" spans="25:25" ht="15.75" customHeight="1" x14ac:dyDescent="0.25">
      <c r="Y475" s="15"/>
    </row>
    <row r="476" spans="25:25" ht="15.75" customHeight="1" x14ac:dyDescent="0.25">
      <c r="Y476" s="15"/>
    </row>
    <row r="477" spans="25:25" ht="15.75" customHeight="1" x14ac:dyDescent="0.25">
      <c r="Y477" s="15"/>
    </row>
    <row r="478" spans="25:25" ht="15.75" customHeight="1" x14ac:dyDescent="0.25">
      <c r="Y478" s="15"/>
    </row>
    <row r="479" spans="25:25" ht="15.75" customHeight="1" x14ac:dyDescent="0.25">
      <c r="Y479" s="15"/>
    </row>
    <row r="480" spans="25:25" ht="15.75" customHeight="1" x14ac:dyDescent="0.25">
      <c r="Y480" s="15"/>
    </row>
    <row r="481" spans="25:25" ht="15.75" customHeight="1" x14ac:dyDescent="0.25">
      <c r="Y481" s="15"/>
    </row>
    <row r="482" spans="25:25" ht="15.75" customHeight="1" x14ac:dyDescent="0.25">
      <c r="Y482" s="15"/>
    </row>
    <row r="483" spans="25:25" ht="15.75" customHeight="1" x14ac:dyDescent="0.25">
      <c r="Y483" s="15"/>
    </row>
    <row r="484" spans="25:25" ht="15.75" customHeight="1" x14ac:dyDescent="0.25">
      <c r="Y484" s="15"/>
    </row>
    <row r="485" spans="25:25" ht="15.75" customHeight="1" x14ac:dyDescent="0.25">
      <c r="Y485" s="15"/>
    </row>
    <row r="486" spans="25:25" ht="15.75" customHeight="1" x14ac:dyDescent="0.25">
      <c r="Y486" s="15"/>
    </row>
    <row r="487" spans="25:25" ht="15.75" customHeight="1" x14ac:dyDescent="0.25">
      <c r="Y487" s="15"/>
    </row>
    <row r="488" spans="25:25" ht="15.75" customHeight="1" x14ac:dyDescent="0.25">
      <c r="Y488" s="15"/>
    </row>
    <row r="489" spans="25:25" ht="15.75" customHeight="1" x14ac:dyDescent="0.25">
      <c r="Y489" s="15"/>
    </row>
    <row r="490" spans="25:25" ht="15.75" customHeight="1" x14ac:dyDescent="0.25">
      <c r="Y490" s="15"/>
    </row>
    <row r="491" spans="25:25" ht="15.75" customHeight="1" x14ac:dyDescent="0.25">
      <c r="Y491" s="15"/>
    </row>
    <row r="492" spans="25:25" ht="15.75" customHeight="1" x14ac:dyDescent="0.25">
      <c r="Y492" s="15"/>
    </row>
    <row r="493" spans="25:25" ht="15.75" customHeight="1" x14ac:dyDescent="0.25">
      <c r="Y493" s="15"/>
    </row>
    <row r="494" spans="25:25" ht="15.75" customHeight="1" x14ac:dyDescent="0.25">
      <c r="Y494" s="15"/>
    </row>
    <row r="495" spans="25:25" ht="15.75" customHeight="1" x14ac:dyDescent="0.25">
      <c r="Y495" s="15"/>
    </row>
    <row r="496" spans="25:25" ht="15.75" customHeight="1" x14ac:dyDescent="0.25">
      <c r="Y496" s="15"/>
    </row>
    <row r="497" spans="25:25" ht="15.75" customHeight="1" x14ac:dyDescent="0.25">
      <c r="Y497" s="15"/>
    </row>
    <row r="498" spans="25:25" ht="15.75" customHeight="1" x14ac:dyDescent="0.25">
      <c r="Y498" s="15"/>
    </row>
    <row r="499" spans="25:25" ht="15.75" customHeight="1" x14ac:dyDescent="0.25">
      <c r="Y499" s="15"/>
    </row>
    <row r="500" spans="25:25" ht="15.75" customHeight="1" x14ac:dyDescent="0.25">
      <c r="Y500" s="15"/>
    </row>
    <row r="501" spans="25:25" ht="15.75" customHeight="1" x14ac:dyDescent="0.25">
      <c r="Y501" s="15"/>
    </row>
    <row r="502" spans="25:25" ht="15.75" customHeight="1" x14ac:dyDescent="0.25">
      <c r="Y502" s="15"/>
    </row>
    <row r="503" spans="25:25" ht="15.75" customHeight="1" x14ac:dyDescent="0.25">
      <c r="Y503" s="15"/>
    </row>
    <row r="504" spans="25:25" ht="15.75" customHeight="1" x14ac:dyDescent="0.25">
      <c r="Y504" s="15"/>
    </row>
    <row r="505" spans="25:25" ht="15.75" customHeight="1" x14ac:dyDescent="0.25">
      <c r="Y505" s="15"/>
    </row>
    <row r="506" spans="25:25" ht="15.75" customHeight="1" x14ac:dyDescent="0.25">
      <c r="Y506" s="15"/>
    </row>
    <row r="507" spans="25:25" ht="15.75" customHeight="1" x14ac:dyDescent="0.25">
      <c r="Y507" s="15"/>
    </row>
    <row r="508" spans="25:25" ht="15.75" customHeight="1" x14ac:dyDescent="0.25">
      <c r="Y508" s="15"/>
    </row>
    <row r="509" spans="25:25" ht="15.75" customHeight="1" x14ac:dyDescent="0.25">
      <c r="Y509" s="15"/>
    </row>
    <row r="510" spans="25:25" ht="15.75" customHeight="1" x14ac:dyDescent="0.25">
      <c r="Y510" s="15"/>
    </row>
    <row r="511" spans="25:25" ht="15.75" customHeight="1" x14ac:dyDescent="0.25">
      <c r="Y511" s="15"/>
    </row>
    <row r="512" spans="25:25" ht="15.75" customHeight="1" x14ac:dyDescent="0.25">
      <c r="Y512" s="15"/>
    </row>
    <row r="513" spans="25:25" ht="15.75" customHeight="1" x14ac:dyDescent="0.25">
      <c r="Y513" s="15"/>
    </row>
    <row r="514" spans="25:25" ht="15.75" customHeight="1" x14ac:dyDescent="0.25">
      <c r="Y514" s="15"/>
    </row>
    <row r="515" spans="25:25" ht="15.75" customHeight="1" x14ac:dyDescent="0.25">
      <c r="Y515" s="15"/>
    </row>
    <row r="516" spans="25:25" ht="15.75" customHeight="1" x14ac:dyDescent="0.25">
      <c r="Y516" s="15"/>
    </row>
    <row r="517" spans="25:25" ht="15.75" customHeight="1" x14ac:dyDescent="0.25">
      <c r="Y517" s="15"/>
    </row>
    <row r="518" spans="25:25" ht="15.75" customHeight="1" x14ac:dyDescent="0.25">
      <c r="Y518" s="15"/>
    </row>
    <row r="519" spans="25:25" ht="15.75" customHeight="1" x14ac:dyDescent="0.25">
      <c r="Y519" s="15"/>
    </row>
    <row r="520" spans="25:25" ht="15.75" customHeight="1" x14ac:dyDescent="0.25">
      <c r="Y520" s="15"/>
    </row>
    <row r="521" spans="25:25" ht="15.75" customHeight="1" x14ac:dyDescent="0.25">
      <c r="Y521" s="15"/>
    </row>
    <row r="522" spans="25:25" ht="15.75" customHeight="1" x14ac:dyDescent="0.25">
      <c r="Y522" s="15"/>
    </row>
    <row r="523" spans="25:25" ht="15.75" customHeight="1" x14ac:dyDescent="0.25">
      <c r="Y523" s="15"/>
    </row>
    <row r="524" spans="25:25" ht="15.75" customHeight="1" x14ac:dyDescent="0.25">
      <c r="Y524" s="15"/>
    </row>
    <row r="525" spans="25:25" ht="15.75" customHeight="1" x14ac:dyDescent="0.25">
      <c r="Y525" s="15"/>
    </row>
    <row r="526" spans="25:25" ht="15.75" customHeight="1" x14ac:dyDescent="0.25">
      <c r="Y526" s="15"/>
    </row>
    <row r="527" spans="25:25" ht="15.75" customHeight="1" x14ac:dyDescent="0.25">
      <c r="Y527" s="15"/>
    </row>
    <row r="528" spans="25:25" ht="15.75" customHeight="1" x14ac:dyDescent="0.25">
      <c r="Y528" s="15"/>
    </row>
    <row r="529" spans="25:25" ht="15.75" customHeight="1" x14ac:dyDescent="0.25">
      <c r="Y529" s="15"/>
    </row>
    <row r="530" spans="25:25" ht="15.75" customHeight="1" x14ac:dyDescent="0.25">
      <c r="Y530" s="15"/>
    </row>
    <row r="531" spans="25:25" ht="15.75" customHeight="1" x14ac:dyDescent="0.25">
      <c r="Y531" s="15"/>
    </row>
    <row r="532" spans="25:25" ht="15.75" customHeight="1" x14ac:dyDescent="0.25">
      <c r="Y532" s="15"/>
    </row>
    <row r="533" spans="25:25" ht="15.75" customHeight="1" x14ac:dyDescent="0.25">
      <c r="Y533" s="15"/>
    </row>
    <row r="534" spans="25:25" ht="15.75" customHeight="1" x14ac:dyDescent="0.25">
      <c r="Y534" s="15"/>
    </row>
    <row r="535" spans="25:25" ht="15.75" customHeight="1" x14ac:dyDescent="0.25">
      <c r="Y535" s="15"/>
    </row>
    <row r="536" spans="25:25" ht="15.75" customHeight="1" x14ac:dyDescent="0.25">
      <c r="Y536" s="15"/>
    </row>
    <row r="537" spans="25:25" ht="15.75" customHeight="1" x14ac:dyDescent="0.25">
      <c r="Y537" s="15"/>
    </row>
    <row r="538" spans="25:25" ht="15.75" customHeight="1" x14ac:dyDescent="0.25">
      <c r="Y538" s="15"/>
    </row>
    <row r="539" spans="25:25" ht="15.75" customHeight="1" x14ac:dyDescent="0.25">
      <c r="Y539" s="15"/>
    </row>
    <row r="540" spans="25:25" ht="15.75" customHeight="1" x14ac:dyDescent="0.25">
      <c r="Y540" s="15"/>
    </row>
    <row r="541" spans="25:25" ht="15.75" customHeight="1" x14ac:dyDescent="0.25">
      <c r="Y541" s="15"/>
    </row>
    <row r="542" spans="25:25" ht="15.75" customHeight="1" x14ac:dyDescent="0.25">
      <c r="Y542" s="15"/>
    </row>
    <row r="543" spans="25:25" ht="15.75" customHeight="1" x14ac:dyDescent="0.25">
      <c r="Y543" s="15"/>
    </row>
    <row r="544" spans="25:25" ht="15.75" customHeight="1" x14ac:dyDescent="0.25">
      <c r="Y544" s="15"/>
    </row>
    <row r="545" spans="25:25" ht="15.75" customHeight="1" x14ac:dyDescent="0.25">
      <c r="Y545" s="15"/>
    </row>
    <row r="546" spans="25:25" ht="15.75" customHeight="1" x14ac:dyDescent="0.25">
      <c r="Y546" s="15"/>
    </row>
    <row r="547" spans="25:25" ht="15.75" customHeight="1" x14ac:dyDescent="0.25">
      <c r="Y547" s="15"/>
    </row>
    <row r="548" spans="25:25" ht="15.75" customHeight="1" x14ac:dyDescent="0.25">
      <c r="Y548" s="15"/>
    </row>
    <row r="549" spans="25:25" ht="15.75" customHeight="1" x14ac:dyDescent="0.25">
      <c r="Y549" s="15"/>
    </row>
    <row r="550" spans="25:25" ht="15.75" customHeight="1" x14ac:dyDescent="0.25">
      <c r="Y550" s="15"/>
    </row>
    <row r="551" spans="25:25" ht="15.75" customHeight="1" x14ac:dyDescent="0.25">
      <c r="Y551" s="15"/>
    </row>
    <row r="552" spans="25:25" ht="15.75" customHeight="1" x14ac:dyDescent="0.25">
      <c r="Y552" s="15"/>
    </row>
    <row r="553" spans="25:25" ht="15.75" customHeight="1" x14ac:dyDescent="0.25">
      <c r="Y553" s="15"/>
    </row>
    <row r="554" spans="25:25" ht="15.75" customHeight="1" x14ac:dyDescent="0.25">
      <c r="Y554" s="15"/>
    </row>
    <row r="555" spans="25:25" ht="15.75" customHeight="1" x14ac:dyDescent="0.25">
      <c r="Y555" s="15"/>
    </row>
    <row r="556" spans="25:25" ht="15.75" customHeight="1" x14ac:dyDescent="0.25">
      <c r="Y556" s="15"/>
    </row>
    <row r="557" spans="25:25" ht="15.75" customHeight="1" x14ac:dyDescent="0.25">
      <c r="Y557" s="15"/>
    </row>
    <row r="558" spans="25:25" ht="15.75" customHeight="1" x14ac:dyDescent="0.25">
      <c r="Y558" s="15"/>
    </row>
    <row r="559" spans="25:25" ht="15.75" customHeight="1" x14ac:dyDescent="0.25">
      <c r="Y559" s="15"/>
    </row>
    <row r="560" spans="25:25" ht="15.75" customHeight="1" x14ac:dyDescent="0.25">
      <c r="Y560" s="15"/>
    </row>
    <row r="561" spans="25:25" ht="15.75" customHeight="1" x14ac:dyDescent="0.25">
      <c r="Y561" s="15"/>
    </row>
    <row r="562" spans="25:25" ht="15.75" customHeight="1" x14ac:dyDescent="0.25">
      <c r="Y562" s="15"/>
    </row>
    <row r="563" spans="25:25" ht="15.75" customHeight="1" x14ac:dyDescent="0.25">
      <c r="Y563" s="15"/>
    </row>
    <row r="564" spans="25:25" ht="15.75" customHeight="1" x14ac:dyDescent="0.25">
      <c r="Y564" s="15"/>
    </row>
    <row r="565" spans="25:25" ht="15.75" customHeight="1" x14ac:dyDescent="0.25">
      <c r="Y565" s="15"/>
    </row>
    <row r="566" spans="25:25" ht="15.75" customHeight="1" x14ac:dyDescent="0.25">
      <c r="Y566" s="15"/>
    </row>
    <row r="567" spans="25:25" ht="15.75" customHeight="1" x14ac:dyDescent="0.25">
      <c r="Y567" s="15"/>
    </row>
    <row r="568" spans="25:25" ht="15.75" customHeight="1" x14ac:dyDescent="0.25">
      <c r="Y568" s="15"/>
    </row>
    <row r="569" spans="25:25" ht="15.75" customHeight="1" x14ac:dyDescent="0.25">
      <c r="Y569" s="15"/>
    </row>
    <row r="570" spans="25:25" ht="15.75" customHeight="1" x14ac:dyDescent="0.25">
      <c r="Y570" s="15"/>
    </row>
    <row r="571" spans="25:25" ht="15.75" customHeight="1" x14ac:dyDescent="0.25">
      <c r="Y571" s="15"/>
    </row>
    <row r="572" spans="25:25" ht="15.75" customHeight="1" x14ac:dyDescent="0.25">
      <c r="Y572" s="15"/>
    </row>
    <row r="573" spans="25:25" ht="15.75" customHeight="1" x14ac:dyDescent="0.25">
      <c r="Y573" s="15"/>
    </row>
    <row r="574" spans="25:25" ht="15.75" customHeight="1" x14ac:dyDescent="0.25">
      <c r="Y574" s="15"/>
    </row>
    <row r="575" spans="25:25" ht="15.75" customHeight="1" x14ac:dyDescent="0.25">
      <c r="Y575" s="15"/>
    </row>
    <row r="576" spans="25:25" ht="15.75" customHeight="1" x14ac:dyDescent="0.25">
      <c r="Y576" s="15"/>
    </row>
    <row r="577" spans="25:25" ht="15.75" customHeight="1" x14ac:dyDescent="0.25">
      <c r="Y577" s="15"/>
    </row>
    <row r="578" spans="25:25" ht="15.75" customHeight="1" x14ac:dyDescent="0.25">
      <c r="Y578" s="15"/>
    </row>
    <row r="579" spans="25:25" ht="15.75" customHeight="1" x14ac:dyDescent="0.25">
      <c r="Y579" s="15"/>
    </row>
    <row r="580" spans="25:25" ht="15.75" customHeight="1" x14ac:dyDescent="0.25">
      <c r="Y580" s="15"/>
    </row>
    <row r="581" spans="25:25" ht="15.75" customHeight="1" x14ac:dyDescent="0.25">
      <c r="Y581" s="15"/>
    </row>
    <row r="582" spans="25:25" ht="15.75" customHeight="1" x14ac:dyDescent="0.25">
      <c r="Y582" s="15"/>
    </row>
    <row r="583" spans="25:25" ht="15.75" customHeight="1" x14ac:dyDescent="0.25">
      <c r="Y583" s="15"/>
    </row>
    <row r="584" spans="25:25" ht="15.75" customHeight="1" x14ac:dyDescent="0.25">
      <c r="Y584" s="15"/>
    </row>
    <row r="585" spans="25:25" ht="15.75" customHeight="1" x14ac:dyDescent="0.25">
      <c r="Y585" s="15"/>
    </row>
    <row r="586" spans="25:25" ht="15.75" customHeight="1" x14ac:dyDescent="0.25">
      <c r="Y586" s="15"/>
    </row>
    <row r="587" spans="25:25" ht="15.75" customHeight="1" x14ac:dyDescent="0.25">
      <c r="Y587" s="15"/>
    </row>
    <row r="588" spans="25:25" ht="15.75" customHeight="1" x14ac:dyDescent="0.25">
      <c r="Y588" s="15"/>
    </row>
    <row r="589" spans="25:25" ht="15.75" customHeight="1" x14ac:dyDescent="0.25">
      <c r="Y589" s="15"/>
    </row>
    <row r="590" spans="25:25" ht="15.75" customHeight="1" x14ac:dyDescent="0.25">
      <c r="Y590" s="15"/>
    </row>
    <row r="591" spans="25:25" ht="15.75" customHeight="1" x14ac:dyDescent="0.25">
      <c r="Y591" s="15"/>
    </row>
    <row r="592" spans="25:25" ht="15.75" customHeight="1" x14ac:dyDescent="0.25">
      <c r="Y592" s="15"/>
    </row>
    <row r="593" spans="25:25" ht="15.75" customHeight="1" x14ac:dyDescent="0.25">
      <c r="Y593" s="15"/>
    </row>
    <row r="594" spans="25:25" ht="15.75" customHeight="1" x14ac:dyDescent="0.25">
      <c r="Y594" s="15"/>
    </row>
    <row r="595" spans="25:25" ht="15.75" customHeight="1" x14ac:dyDescent="0.25">
      <c r="Y595" s="15"/>
    </row>
    <row r="596" spans="25:25" ht="15.75" customHeight="1" x14ac:dyDescent="0.25">
      <c r="Y596" s="15"/>
    </row>
    <row r="597" spans="25:25" ht="15.75" customHeight="1" x14ac:dyDescent="0.25">
      <c r="Y597" s="15"/>
    </row>
    <row r="598" spans="25:25" ht="15.75" customHeight="1" x14ac:dyDescent="0.25">
      <c r="Y598" s="15"/>
    </row>
    <row r="599" spans="25:25" ht="15.75" customHeight="1" x14ac:dyDescent="0.25">
      <c r="Y599" s="15"/>
    </row>
    <row r="600" spans="25:25" ht="15.75" customHeight="1" x14ac:dyDescent="0.25">
      <c r="Y600" s="15"/>
    </row>
    <row r="601" spans="25:25" ht="15.75" customHeight="1" x14ac:dyDescent="0.25">
      <c r="Y601" s="15"/>
    </row>
    <row r="602" spans="25:25" ht="15.75" customHeight="1" x14ac:dyDescent="0.25">
      <c r="Y602" s="15"/>
    </row>
    <row r="603" spans="25:25" ht="15.75" customHeight="1" x14ac:dyDescent="0.25">
      <c r="Y603" s="15"/>
    </row>
    <row r="604" spans="25:25" ht="15.75" customHeight="1" x14ac:dyDescent="0.25">
      <c r="Y604" s="15"/>
    </row>
    <row r="605" spans="25:25" ht="15.75" customHeight="1" x14ac:dyDescent="0.25">
      <c r="Y605" s="15"/>
    </row>
    <row r="606" spans="25:25" ht="15.75" customHeight="1" x14ac:dyDescent="0.25">
      <c r="Y606" s="15"/>
    </row>
    <row r="607" spans="25:25" ht="15.75" customHeight="1" x14ac:dyDescent="0.25">
      <c r="Y607" s="15"/>
    </row>
    <row r="608" spans="25:25" ht="15.75" customHeight="1" x14ac:dyDescent="0.25">
      <c r="Y608" s="15"/>
    </row>
    <row r="609" spans="25:25" ht="15.75" customHeight="1" x14ac:dyDescent="0.25">
      <c r="Y609" s="15"/>
    </row>
    <row r="610" spans="25:25" ht="15.75" customHeight="1" x14ac:dyDescent="0.25">
      <c r="Y610" s="15"/>
    </row>
    <row r="611" spans="25:25" ht="15.75" customHeight="1" x14ac:dyDescent="0.25">
      <c r="Y611" s="15"/>
    </row>
    <row r="612" spans="25:25" ht="15.75" customHeight="1" x14ac:dyDescent="0.25">
      <c r="Y612" s="15"/>
    </row>
    <row r="613" spans="25:25" ht="15.75" customHeight="1" x14ac:dyDescent="0.25">
      <c r="Y613" s="15"/>
    </row>
    <row r="614" spans="25:25" ht="15.75" customHeight="1" x14ac:dyDescent="0.25">
      <c r="Y614" s="15"/>
    </row>
    <row r="615" spans="25:25" ht="15.75" customHeight="1" x14ac:dyDescent="0.25">
      <c r="Y615" s="15"/>
    </row>
    <row r="616" spans="25:25" ht="15.75" customHeight="1" x14ac:dyDescent="0.25">
      <c r="Y616" s="15"/>
    </row>
    <row r="617" spans="25:25" ht="15.75" customHeight="1" x14ac:dyDescent="0.25">
      <c r="Y617" s="15"/>
    </row>
    <row r="618" spans="25:25" ht="15.75" customHeight="1" x14ac:dyDescent="0.25">
      <c r="Y618" s="15"/>
    </row>
    <row r="619" spans="25:25" ht="15.75" customHeight="1" x14ac:dyDescent="0.25">
      <c r="Y619" s="15"/>
    </row>
    <row r="620" spans="25:25" ht="15.75" customHeight="1" x14ac:dyDescent="0.25">
      <c r="Y620" s="15"/>
    </row>
    <row r="621" spans="25:25" ht="15.75" customHeight="1" x14ac:dyDescent="0.25">
      <c r="Y621" s="15"/>
    </row>
    <row r="622" spans="25:25" ht="15.75" customHeight="1" x14ac:dyDescent="0.25">
      <c r="Y622" s="15"/>
    </row>
    <row r="623" spans="25:25" ht="15.75" customHeight="1" x14ac:dyDescent="0.25">
      <c r="Y623" s="15"/>
    </row>
    <row r="624" spans="25:25" ht="15.75" customHeight="1" x14ac:dyDescent="0.25">
      <c r="Y624" s="15"/>
    </row>
    <row r="625" spans="25:25" ht="15.75" customHeight="1" x14ac:dyDescent="0.25">
      <c r="Y625" s="15"/>
    </row>
    <row r="626" spans="25:25" ht="15.75" customHeight="1" x14ac:dyDescent="0.25">
      <c r="Y626" s="15"/>
    </row>
    <row r="627" spans="25:25" ht="15.75" customHeight="1" x14ac:dyDescent="0.25">
      <c r="Y627" s="15"/>
    </row>
    <row r="628" spans="25:25" ht="15.75" customHeight="1" x14ac:dyDescent="0.25">
      <c r="Y628" s="15"/>
    </row>
    <row r="629" spans="25:25" ht="15.75" customHeight="1" x14ac:dyDescent="0.25">
      <c r="Y629" s="15"/>
    </row>
    <row r="630" spans="25:25" ht="15.75" customHeight="1" x14ac:dyDescent="0.25">
      <c r="Y630" s="15"/>
    </row>
    <row r="631" spans="25:25" ht="15.75" customHeight="1" x14ac:dyDescent="0.25">
      <c r="Y631" s="15"/>
    </row>
    <row r="632" spans="25:25" ht="15.75" customHeight="1" x14ac:dyDescent="0.25">
      <c r="Y632" s="15"/>
    </row>
    <row r="633" spans="25:25" ht="15.75" customHeight="1" x14ac:dyDescent="0.25">
      <c r="Y633" s="15"/>
    </row>
    <row r="634" spans="25:25" ht="15.75" customHeight="1" x14ac:dyDescent="0.25">
      <c r="Y634" s="15"/>
    </row>
    <row r="635" spans="25:25" ht="15.75" customHeight="1" x14ac:dyDescent="0.25">
      <c r="Y635" s="15"/>
    </row>
    <row r="636" spans="25:25" ht="15.75" customHeight="1" x14ac:dyDescent="0.25">
      <c r="Y636" s="15"/>
    </row>
    <row r="637" spans="25:25" ht="15.75" customHeight="1" x14ac:dyDescent="0.25">
      <c r="Y637" s="15"/>
    </row>
    <row r="638" spans="25:25" ht="15.75" customHeight="1" x14ac:dyDescent="0.25">
      <c r="Y638" s="15"/>
    </row>
    <row r="639" spans="25:25" ht="15.75" customHeight="1" x14ac:dyDescent="0.25">
      <c r="Y639" s="15"/>
    </row>
    <row r="640" spans="25:25" ht="15.75" customHeight="1" x14ac:dyDescent="0.25">
      <c r="Y640" s="15"/>
    </row>
    <row r="641" spans="25:25" ht="15.75" customHeight="1" x14ac:dyDescent="0.25">
      <c r="Y641" s="15"/>
    </row>
    <row r="642" spans="25:25" ht="15.75" customHeight="1" x14ac:dyDescent="0.25">
      <c r="Y642" s="15"/>
    </row>
    <row r="643" spans="25:25" ht="15.75" customHeight="1" x14ac:dyDescent="0.25">
      <c r="Y643" s="15"/>
    </row>
    <row r="644" spans="25:25" ht="15.75" customHeight="1" x14ac:dyDescent="0.25">
      <c r="Y644" s="15"/>
    </row>
    <row r="645" spans="25:25" ht="15.75" customHeight="1" x14ac:dyDescent="0.25">
      <c r="Y645" s="15"/>
    </row>
    <row r="646" spans="25:25" ht="15.75" customHeight="1" x14ac:dyDescent="0.25">
      <c r="Y646" s="15"/>
    </row>
    <row r="647" spans="25:25" ht="15.75" customHeight="1" x14ac:dyDescent="0.25">
      <c r="Y647" s="15"/>
    </row>
    <row r="648" spans="25:25" ht="15.75" customHeight="1" x14ac:dyDescent="0.25">
      <c r="Y648" s="15"/>
    </row>
    <row r="649" spans="25:25" ht="15.75" customHeight="1" x14ac:dyDescent="0.25">
      <c r="Y649" s="15"/>
    </row>
    <row r="650" spans="25:25" ht="15.75" customHeight="1" x14ac:dyDescent="0.25">
      <c r="Y650" s="15"/>
    </row>
    <row r="651" spans="25:25" ht="15.75" customHeight="1" x14ac:dyDescent="0.25">
      <c r="Y651" s="15"/>
    </row>
    <row r="652" spans="25:25" ht="15.75" customHeight="1" x14ac:dyDescent="0.25">
      <c r="Y652" s="15"/>
    </row>
    <row r="653" spans="25:25" ht="15.75" customHeight="1" x14ac:dyDescent="0.25">
      <c r="Y653" s="15"/>
    </row>
    <row r="654" spans="25:25" ht="15.75" customHeight="1" x14ac:dyDescent="0.25">
      <c r="Y654" s="15"/>
    </row>
    <row r="655" spans="25:25" ht="15.75" customHeight="1" x14ac:dyDescent="0.25">
      <c r="Y655" s="15"/>
    </row>
    <row r="656" spans="25:25" ht="15.75" customHeight="1" x14ac:dyDescent="0.25">
      <c r="Y656" s="15"/>
    </row>
    <row r="657" spans="25:25" ht="15.75" customHeight="1" x14ac:dyDescent="0.25">
      <c r="Y657" s="15"/>
    </row>
    <row r="658" spans="25:25" ht="15.75" customHeight="1" x14ac:dyDescent="0.25">
      <c r="Y658" s="15"/>
    </row>
    <row r="659" spans="25:25" ht="15.75" customHeight="1" x14ac:dyDescent="0.25">
      <c r="Y659" s="15"/>
    </row>
    <row r="660" spans="25:25" ht="15.75" customHeight="1" x14ac:dyDescent="0.25">
      <c r="Y660" s="15"/>
    </row>
    <row r="661" spans="25:25" ht="15.75" customHeight="1" x14ac:dyDescent="0.25">
      <c r="Y661" s="15"/>
    </row>
    <row r="662" spans="25:25" ht="15.75" customHeight="1" x14ac:dyDescent="0.25">
      <c r="Y662" s="15"/>
    </row>
    <row r="663" spans="25:25" ht="15.75" customHeight="1" x14ac:dyDescent="0.25">
      <c r="Y663" s="15"/>
    </row>
    <row r="664" spans="25:25" ht="15.75" customHeight="1" x14ac:dyDescent="0.25">
      <c r="Y664" s="15"/>
    </row>
    <row r="665" spans="25:25" ht="15.75" customHeight="1" x14ac:dyDescent="0.25">
      <c r="Y665" s="15"/>
    </row>
    <row r="666" spans="25:25" ht="15.75" customHeight="1" x14ac:dyDescent="0.25">
      <c r="Y666" s="15"/>
    </row>
    <row r="667" spans="25:25" ht="15.75" customHeight="1" x14ac:dyDescent="0.25">
      <c r="Y667" s="15"/>
    </row>
    <row r="668" spans="25:25" ht="15.75" customHeight="1" x14ac:dyDescent="0.25">
      <c r="Y668" s="15"/>
    </row>
    <row r="669" spans="25:25" ht="15.75" customHeight="1" x14ac:dyDescent="0.25">
      <c r="Y669" s="15"/>
    </row>
    <row r="670" spans="25:25" ht="15.75" customHeight="1" x14ac:dyDescent="0.25">
      <c r="Y670" s="15"/>
    </row>
    <row r="671" spans="25:25" ht="15.75" customHeight="1" x14ac:dyDescent="0.25">
      <c r="Y671" s="15"/>
    </row>
    <row r="672" spans="25:25" ht="15.75" customHeight="1" x14ac:dyDescent="0.25">
      <c r="Y672" s="15"/>
    </row>
    <row r="673" spans="25:25" ht="15.75" customHeight="1" x14ac:dyDescent="0.25">
      <c r="Y673" s="15"/>
    </row>
    <row r="674" spans="25:25" ht="15.75" customHeight="1" x14ac:dyDescent="0.25">
      <c r="Y674" s="15"/>
    </row>
    <row r="675" spans="25:25" ht="15.75" customHeight="1" x14ac:dyDescent="0.25">
      <c r="Y675" s="15"/>
    </row>
    <row r="676" spans="25:25" ht="15.75" customHeight="1" x14ac:dyDescent="0.25">
      <c r="Y676" s="15"/>
    </row>
    <row r="677" spans="25:25" ht="15.75" customHeight="1" x14ac:dyDescent="0.25">
      <c r="Y677" s="15"/>
    </row>
    <row r="678" spans="25:25" ht="15.75" customHeight="1" x14ac:dyDescent="0.25">
      <c r="Y678" s="15"/>
    </row>
    <row r="679" spans="25:25" ht="15.75" customHeight="1" x14ac:dyDescent="0.25">
      <c r="Y679" s="15"/>
    </row>
    <row r="680" spans="25:25" ht="15.75" customHeight="1" x14ac:dyDescent="0.25">
      <c r="Y680" s="15"/>
    </row>
    <row r="681" spans="25:25" ht="15.75" customHeight="1" x14ac:dyDescent="0.25">
      <c r="Y681" s="15"/>
    </row>
    <row r="682" spans="25:25" ht="15.75" customHeight="1" x14ac:dyDescent="0.25">
      <c r="Y682" s="15"/>
    </row>
    <row r="683" spans="25:25" ht="15.75" customHeight="1" x14ac:dyDescent="0.25">
      <c r="Y683" s="15"/>
    </row>
    <row r="684" spans="25:25" ht="15.75" customHeight="1" x14ac:dyDescent="0.25">
      <c r="Y684" s="15"/>
    </row>
    <row r="685" spans="25:25" ht="15.75" customHeight="1" x14ac:dyDescent="0.25">
      <c r="Y685" s="15"/>
    </row>
    <row r="686" spans="25:25" ht="15.75" customHeight="1" x14ac:dyDescent="0.25">
      <c r="Y686" s="15"/>
    </row>
    <row r="687" spans="25:25" ht="15.75" customHeight="1" x14ac:dyDescent="0.25">
      <c r="Y687" s="15"/>
    </row>
    <row r="688" spans="25:25" ht="15.75" customHeight="1" x14ac:dyDescent="0.25">
      <c r="Y688" s="15"/>
    </row>
    <row r="689" spans="25:25" ht="15.75" customHeight="1" x14ac:dyDescent="0.25">
      <c r="Y689" s="15"/>
    </row>
    <row r="690" spans="25:25" ht="15.75" customHeight="1" x14ac:dyDescent="0.25">
      <c r="Y690" s="15"/>
    </row>
    <row r="691" spans="25:25" ht="15.75" customHeight="1" x14ac:dyDescent="0.25">
      <c r="Y691" s="15"/>
    </row>
    <row r="692" spans="25:25" ht="15.75" customHeight="1" x14ac:dyDescent="0.25">
      <c r="Y692" s="15"/>
    </row>
    <row r="693" spans="25:25" ht="15.75" customHeight="1" x14ac:dyDescent="0.25">
      <c r="Y693" s="15"/>
    </row>
    <row r="694" spans="25:25" ht="15.75" customHeight="1" x14ac:dyDescent="0.25">
      <c r="Y694" s="15"/>
    </row>
    <row r="695" spans="25:25" ht="15.75" customHeight="1" x14ac:dyDescent="0.25">
      <c r="Y695" s="15"/>
    </row>
    <row r="696" spans="25:25" ht="15.75" customHeight="1" x14ac:dyDescent="0.25">
      <c r="Y696" s="15"/>
    </row>
    <row r="697" spans="25:25" ht="15.75" customHeight="1" x14ac:dyDescent="0.25">
      <c r="Y697" s="15"/>
    </row>
    <row r="698" spans="25:25" ht="15.75" customHeight="1" x14ac:dyDescent="0.25">
      <c r="Y698" s="15"/>
    </row>
    <row r="699" spans="25:25" ht="15.75" customHeight="1" x14ac:dyDescent="0.25">
      <c r="Y699" s="15"/>
    </row>
    <row r="700" spans="25:25" ht="15.75" customHeight="1" x14ac:dyDescent="0.25">
      <c r="Y700" s="15"/>
    </row>
    <row r="701" spans="25:25" ht="15.75" customHeight="1" x14ac:dyDescent="0.25">
      <c r="Y701" s="15"/>
    </row>
    <row r="702" spans="25:25" ht="15.75" customHeight="1" x14ac:dyDescent="0.25">
      <c r="Y702" s="15"/>
    </row>
    <row r="703" spans="25:25" ht="15.75" customHeight="1" x14ac:dyDescent="0.25">
      <c r="Y703" s="15"/>
    </row>
    <row r="704" spans="25:25" ht="15.75" customHeight="1" x14ac:dyDescent="0.25">
      <c r="Y704" s="15"/>
    </row>
    <row r="705" spans="25:25" ht="15.75" customHeight="1" x14ac:dyDescent="0.25">
      <c r="Y705" s="15"/>
    </row>
    <row r="706" spans="25:25" ht="15.75" customHeight="1" x14ac:dyDescent="0.25">
      <c r="Y706" s="15"/>
    </row>
    <row r="707" spans="25:25" ht="15.75" customHeight="1" x14ac:dyDescent="0.25">
      <c r="Y707" s="15"/>
    </row>
    <row r="708" spans="25:25" ht="15.75" customHeight="1" x14ac:dyDescent="0.25">
      <c r="Y708" s="15"/>
    </row>
    <row r="709" spans="25:25" ht="15.75" customHeight="1" x14ac:dyDescent="0.25">
      <c r="Y709" s="15"/>
    </row>
    <row r="710" spans="25:25" ht="15.75" customHeight="1" x14ac:dyDescent="0.25">
      <c r="Y710" s="15"/>
    </row>
    <row r="711" spans="25:25" ht="15.75" customHeight="1" x14ac:dyDescent="0.25">
      <c r="Y711" s="15"/>
    </row>
    <row r="712" spans="25:25" ht="15.75" customHeight="1" x14ac:dyDescent="0.25">
      <c r="Y712" s="15"/>
    </row>
    <row r="713" spans="25:25" ht="15.75" customHeight="1" x14ac:dyDescent="0.25">
      <c r="Y713" s="15"/>
    </row>
    <row r="714" spans="25:25" ht="15.75" customHeight="1" x14ac:dyDescent="0.25">
      <c r="Y714" s="15"/>
    </row>
    <row r="715" spans="25:25" ht="15.75" customHeight="1" x14ac:dyDescent="0.25">
      <c r="Y715" s="15"/>
    </row>
    <row r="716" spans="25:25" ht="15.75" customHeight="1" x14ac:dyDescent="0.25">
      <c r="Y716" s="15"/>
    </row>
    <row r="717" spans="25:25" ht="15.75" customHeight="1" x14ac:dyDescent="0.25">
      <c r="Y717" s="15"/>
    </row>
    <row r="718" spans="25:25" ht="15.75" customHeight="1" x14ac:dyDescent="0.25">
      <c r="Y718" s="15"/>
    </row>
    <row r="719" spans="25:25" ht="15.75" customHeight="1" x14ac:dyDescent="0.25">
      <c r="Y719" s="15"/>
    </row>
    <row r="720" spans="25:25" ht="15.75" customHeight="1" x14ac:dyDescent="0.25">
      <c r="Y720" s="15"/>
    </row>
    <row r="721" spans="25:25" ht="15.75" customHeight="1" x14ac:dyDescent="0.25">
      <c r="Y721" s="15"/>
    </row>
    <row r="722" spans="25:25" ht="15.75" customHeight="1" x14ac:dyDescent="0.25">
      <c r="Y722" s="15"/>
    </row>
    <row r="723" spans="25:25" ht="15.75" customHeight="1" x14ac:dyDescent="0.25">
      <c r="Y723" s="15"/>
    </row>
    <row r="724" spans="25:25" ht="15.75" customHeight="1" x14ac:dyDescent="0.25">
      <c r="Y724" s="15"/>
    </row>
    <row r="725" spans="25:25" ht="15.75" customHeight="1" x14ac:dyDescent="0.25">
      <c r="Y725" s="15"/>
    </row>
    <row r="726" spans="25:25" ht="15.75" customHeight="1" x14ac:dyDescent="0.25">
      <c r="Y726" s="15"/>
    </row>
    <row r="727" spans="25:25" ht="15.75" customHeight="1" x14ac:dyDescent="0.25">
      <c r="Y727" s="15"/>
    </row>
    <row r="728" spans="25:25" ht="15.75" customHeight="1" x14ac:dyDescent="0.25">
      <c r="Y728" s="15"/>
    </row>
    <row r="729" spans="25:25" ht="15.75" customHeight="1" x14ac:dyDescent="0.25">
      <c r="Y729" s="15"/>
    </row>
    <row r="730" spans="25:25" ht="15.75" customHeight="1" x14ac:dyDescent="0.25">
      <c r="Y730" s="15"/>
    </row>
    <row r="731" spans="25:25" ht="15.75" customHeight="1" x14ac:dyDescent="0.25">
      <c r="Y731" s="15"/>
    </row>
    <row r="732" spans="25:25" ht="15.75" customHeight="1" x14ac:dyDescent="0.25">
      <c r="Y732" s="15"/>
    </row>
    <row r="733" spans="25:25" ht="15.75" customHeight="1" x14ac:dyDescent="0.25">
      <c r="Y733" s="15"/>
    </row>
    <row r="734" spans="25:25" ht="15.75" customHeight="1" x14ac:dyDescent="0.25">
      <c r="Y734" s="15"/>
    </row>
    <row r="735" spans="25:25" ht="15.75" customHeight="1" x14ac:dyDescent="0.25">
      <c r="Y735" s="15"/>
    </row>
    <row r="736" spans="25:25" ht="15.75" customHeight="1" x14ac:dyDescent="0.25">
      <c r="Y736" s="15"/>
    </row>
    <row r="737" spans="25:25" ht="15.75" customHeight="1" x14ac:dyDescent="0.25">
      <c r="Y737" s="15"/>
    </row>
    <row r="738" spans="25:25" ht="15.75" customHeight="1" x14ac:dyDescent="0.25">
      <c r="Y738" s="15"/>
    </row>
    <row r="739" spans="25:25" ht="15.75" customHeight="1" x14ac:dyDescent="0.25">
      <c r="Y739" s="15"/>
    </row>
    <row r="740" spans="25:25" ht="15.75" customHeight="1" x14ac:dyDescent="0.25">
      <c r="Y740" s="15"/>
    </row>
    <row r="741" spans="25:25" ht="15.75" customHeight="1" x14ac:dyDescent="0.25">
      <c r="Y741" s="15"/>
    </row>
    <row r="742" spans="25:25" ht="15.75" customHeight="1" x14ac:dyDescent="0.25">
      <c r="Y742" s="15"/>
    </row>
    <row r="743" spans="25:25" ht="15.75" customHeight="1" x14ac:dyDescent="0.25">
      <c r="Y743" s="15"/>
    </row>
    <row r="744" spans="25:25" ht="15.75" customHeight="1" x14ac:dyDescent="0.25">
      <c r="Y744" s="15"/>
    </row>
    <row r="745" spans="25:25" ht="15.75" customHeight="1" x14ac:dyDescent="0.25">
      <c r="Y745" s="15"/>
    </row>
    <row r="746" spans="25:25" ht="15.75" customHeight="1" x14ac:dyDescent="0.25">
      <c r="Y746" s="15"/>
    </row>
    <row r="747" spans="25:25" ht="15.75" customHeight="1" x14ac:dyDescent="0.25">
      <c r="Y747" s="15"/>
    </row>
    <row r="748" spans="25:25" ht="15.75" customHeight="1" x14ac:dyDescent="0.25">
      <c r="Y748" s="15"/>
    </row>
    <row r="749" spans="25:25" ht="15.75" customHeight="1" x14ac:dyDescent="0.25">
      <c r="Y749" s="15"/>
    </row>
    <row r="750" spans="25:25" ht="15.75" customHeight="1" x14ac:dyDescent="0.25">
      <c r="Y750" s="15"/>
    </row>
    <row r="751" spans="25:25" ht="15.75" customHeight="1" x14ac:dyDescent="0.25">
      <c r="Y751" s="15"/>
    </row>
    <row r="752" spans="25:25" ht="15.75" customHeight="1" x14ac:dyDescent="0.25">
      <c r="Y752" s="15"/>
    </row>
    <row r="753" spans="25:25" ht="15.75" customHeight="1" x14ac:dyDescent="0.25">
      <c r="Y753" s="15"/>
    </row>
    <row r="754" spans="25:25" ht="15.75" customHeight="1" x14ac:dyDescent="0.25">
      <c r="Y754" s="15"/>
    </row>
    <row r="755" spans="25:25" ht="15.75" customHeight="1" x14ac:dyDescent="0.25">
      <c r="Y755" s="15"/>
    </row>
    <row r="756" spans="25:25" ht="15.75" customHeight="1" x14ac:dyDescent="0.25">
      <c r="Y756" s="15"/>
    </row>
    <row r="757" spans="25:25" ht="15.75" customHeight="1" x14ac:dyDescent="0.25">
      <c r="Y757" s="15"/>
    </row>
    <row r="758" spans="25:25" ht="15.75" customHeight="1" x14ac:dyDescent="0.25">
      <c r="Y758" s="15"/>
    </row>
    <row r="759" spans="25:25" ht="15.75" customHeight="1" x14ac:dyDescent="0.25">
      <c r="Y759" s="15"/>
    </row>
    <row r="760" spans="25:25" ht="15.75" customHeight="1" x14ac:dyDescent="0.25">
      <c r="Y760" s="15"/>
    </row>
    <row r="761" spans="25:25" ht="15.75" customHeight="1" x14ac:dyDescent="0.25">
      <c r="Y761" s="15"/>
    </row>
    <row r="762" spans="25:25" ht="15.75" customHeight="1" x14ac:dyDescent="0.25">
      <c r="Y762" s="15"/>
    </row>
    <row r="763" spans="25:25" ht="15.75" customHeight="1" x14ac:dyDescent="0.25">
      <c r="Y763" s="15"/>
    </row>
    <row r="764" spans="25:25" ht="15.75" customHeight="1" x14ac:dyDescent="0.25">
      <c r="Y764" s="15"/>
    </row>
    <row r="765" spans="25:25" ht="15.75" customHeight="1" x14ac:dyDescent="0.25">
      <c r="Y765" s="15"/>
    </row>
    <row r="766" spans="25:25" ht="15.75" customHeight="1" x14ac:dyDescent="0.25">
      <c r="Y766" s="15"/>
    </row>
    <row r="767" spans="25:25" ht="15.75" customHeight="1" x14ac:dyDescent="0.25">
      <c r="Y767" s="15"/>
    </row>
    <row r="768" spans="25:25" ht="15.75" customHeight="1" x14ac:dyDescent="0.25">
      <c r="Y768" s="15"/>
    </row>
    <row r="769" spans="25:25" ht="15.75" customHeight="1" x14ac:dyDescent="0.25">
      <c r="Y769" s="15"/>
    </row>
    <row r="770" spans="25:25" ht="15.75" customHeight="1" x14ac:dyDescent="0.25">
      <c r="Y770" s="15"/>
    </row>
    <row r="771" spans="25:25" ht="15.75" customHeight="1" x14ac:dyDescent="0.25">
      <c r="Y771" s="15"/>
    </row>
    <row r="772" spans="25:25" ht="15.75" customHeight="1" x14ac:dyDescent="0.25">
      <c r="Y772" s="15"/>
    </row>
    <row r="773" spans="25:25" ht="15.75" customHeight="1" x14ac:dyDescent="0.25">
      <c r="Y773" s="15"/>
    </row>
    <row r="774" spans="25:25" ht="15.75" customHeight="1" x14ac:dyDescent="0.25">
      <c r="Y774" s="15"/>
    </row>
    <row r="775" spans="25:25" ht="15.75" customHeight="1" x14ac:dyDescent="0.25">
      <c r="Y775" s="15"/>
    </row>
    <row r="776" spans="25:25" ht="15.75" customHeight="1" x14ac:dyDescent="0.25">
      <c r="Y776" s="15"/>
    </row>
    <row r="777" spans="25:25" ht="15.75" customHeight="1" x14ac:dyDescent="0.25">
      <c r="Y777" s="15"/>
    </row>
    <row r="778" spans="25:25" ht="15.75" customHeight="1" x14ac:dyDescent="0.25">
      <c r="Y778" s="15"/>
    </row>
    <row r="779" spans="25:25" ht="15.75" customHeight="1" x14ac:dyDescent="0.25">
      <c r="Y779" s="15"/>
    </row>
    <row r="780" spans="25:25" ht="15.75" customHeight="1" x14ac:dyDescent="0.25">
      <c r="Y780" s="15"/>
    </row>
    <row r="781" spans="25:25" ht="15.75" customHeight="1" x14ac:dyDescent="0.25">
      <c r="Y781" s="15"/>
    </row>
    <row r="782" spans="25:25" ht="15.75" customHeight="1" x14ac:dyDescent="0.25">
      <c r="Y782" s="15"/>
    </row>
    <row r="783" spans="25:25" ht="15.75" customHeight="1" x14ac:dyDescent="0.25">
      <c r="Y783" s="15"/>
    </row>
    <row r="784" spans="25:25" ht="15.75" customHeight="1" x14ac:dyDescent="0.25">
      <c r="Y784" s="15"/>
    </row>
    <row r="785" spans="25:25" ht="15.75" customHeight="1" x14ac:dyDescent="0.25">
      <c r="Y785" s="15"/>
    </row>
    <row r="786" spans="25:25" ht="15.75" customHeight="1" x14ac:dyDescent="0.25">
      <c r="Y786" s="15"/>
    </row>
    <row r="787" spans="25:25" ht="15.75" customHeight="1" x14ac:dyDescent="0.25">
      <c r="Y787" s="15"/>
    </row>
    <row r="788" spans="25:25" ht="15.75" customHeight="1" x14ac:dyDescent="0.25">
      <c r="Y788" s="15"/>
    </row>
    <row r="789" spans="25:25" ht="15.75" customHeight="1" x14ac:dyDescent="0.25">
      <c r="Y789" s="15"/>
    </row>
    <row r="790" spans="25:25" ht="15.75" customHeight="1" x14ac:dyDescent="0.25">
      <c r="Y790" s="15"/>
    </row>
    <row r="791" spans="25:25" ht="15.75" customHeight="1" x14ac:dyDescent="0.25">
      <c r="Y791" s="15"/>
    </row>
    <row r="792" spans="25:25" ht="15.75" customHeight="1" x14ac:dyDescent="0.25">
      <c r="Y792" s="15"/>
    </row>
    <row r="793" spans="25:25" ht="15.75" customHeight="1" x14ac:dyDescent="0.25">
      <c r="Y793" s="15"/>
    </row>
    <row r="794" spans="25:25" ht="15.75" customHeight="1" x14ac:dyDescent="0.25">
      <c r="Y794" s="15"/>
    </row>
    <row r="795" spans="25:25" ht="15.75" customHeight="1" x14ac:dyDescent="0.25">
      <c r="Y795" s="15"/>
    </row>
    <row r="796" spans="25:25" ht="15.75" customHeight="1" x14ac:dyDescent="0.25">
      <c r="Y796" s="15"/>
    </row>
    <row r="797" spans="25:25" ht="15.75" customHeight="1" x14ac:dyDescent="0.25">
      <c r="Y797" s="15"/>
    </row>
    <row r="798" spans="25:25" ht="15.75" customHeight="1" x14ac:dyDescent="0.25">
      <c r="Y798" s="15"/>
    </row>
    <row r="799" spans="25:25" ht="15.75" customHeight="1" x14ac:dyDescent="0.25">
      <c r="Y799" s="15"/>
    </row>
    <row r="800" spans="25:25" ht="15.75" customHeight="1" x14ac:dyDescent="0.25">
      <c r="Y800" s="15"/>
    </row>
    <row r="801" spans="25:25" ht="15.75" customHeight="1" x14ac:dyDescent="0.25">
      <c r="Y801" s="15"/>
    </row>
    <row r="802" spans="25:25" ht="15.75" customHeight="1" x14ac:dyDescent="0.25">
      <c r="Y802" s="15"/>
    </row>
    <row r="803" spans="25:25" ht="15.75" customHeight="1" x14ac:dyDescent="0.25">
      <c r="Y803" s="15"/>
    </row>
    <row r="804" spans="25:25" ht="15.75" customHeight="1" x14ac:dyDescent="0.25">
      <c r="Y804" s="15"/>
    </row>
    <row r="805" spans="25:25" ht="15.75" customHeight="1" x14ac:dyDescent="0.25">
      <c r="Y805" s="15"/>
    </row>
    <row r="806" spans="25:25" ht="15.75" customHeight="1" x14ac:dyDescent="0.25">
      <c r="Y806" s="15"/>
    </row>
    <row r="807" spans="25:25" ht="15.75" customHeight="1" x14ac:dyDescent="0.25">
      <c r="Y807" s="15"/>
    </row>
    <row r="808" spans="25:25" ht="15.75" customHeight="1" x14ac:dyDescent="0.25">
      <c r="Y808" s="15"/>
    </row>
    <row r="809" spans="25:25" ht="15.75" customHeight="1" x14ac:dyDescent="0.25">
      <c r="Y809" s="15"/>
    </row>
    <row r="810" spans="25:25" ht="15.75" customHeight="1" x14ac:dyDescent="0.25">
      <c r="Y810" s="15"/>
    </row>
    <row r="811" spans="25:25" ht="15.75" customHeight="1" x14ac:dyDescent="0.25">
      <c r="Y811" s="15"/>
    </row>
    <row r="812" spans="25:25" ht="15.75" customHeight="1" x14ac:dyDescent="0.25">
      <c r="Y812" s="15"/>
    </row>
    <row r="813" spans="25:25" ht="15.75" customHeight="1" x14ac:dyDescent="0.25">
      <c r="Y813" s="15"/>
    </row>
    <row r="814" spans="25:25" ht="15.75" customHeight="1" x14ac:dyDescent="0.25">
      <c r="Y814" s="15"/>
    </row>
    <row r="815" spans="25:25" ht="15.75" customHeight="1" x14ac:dyDescent="0.25">
      <c r="Y815" s="15"/>
    </row>
    <row r="816" spans="25:25" ht="15.75" customHeight="1" x14ac:dyDescent="0.25">
      <c r="Y816" s="15"/>
    </row>
    <row r="817" spans="25:25" ht="15.75" customHeight="1" x14ac:dyDescent="0.25">
      <c r="Y817" s="15"/>
    </row>
    <row r="818" spans="25:25" ht="15.75" customHeight="1" x14ac:dyDescent="0.25">
      <c r="Y818" s="15"/>
    </row>
    <row r="819" spans="25:25" ht="15.75" customHeight="1" x14ac:dyDescent="0.25">
      <c r="Y819" s="15"/>
    </row>
    <row r="820" spans="25:25" ht="15.75" customHeight="1" x14ac:dyDescent="0.25">
      <c r="Y820" s="15"/>
    </row>
    <row r="821" spans="25:25" ht="15.75" customHeight="1" x14ac:dyDescent="0.25">
      <c r="Y821" s="15"/>
    </row>
    <row r="822" spans="25:25" ht="15.75" customHeight="1" x14ac:dyDescent="0.25">
      <c r="Y822" s="15"/>
    </row>
    <row r="823" spans="25:25" ht="15.75" customHeight="1" x14ac:dyDescent="0.25">
      <c r="Y823" s="15"/>
    </row>
    <row r="824" spans="25:25" ht="15.75" customHeight="1" x14ac:dyDescent="0.25">
      <c r="Y824" s="15"/>
    </row>
    <row r="825" spans="25:25" ht="15.75" customHeight="1" x14ac:dyDescent="0.25">
      <c r="Y825" s="15"/>
    </row>
    <row r="826" spans="25:25" ht="15.75" customHeight="1" x14ac:dyDescent="0.25">
      <c r="Y826" s="15"/>
    </row>
    <row r="827" spans="25:25" ht="15.75" customHeight="1" x14ac:dyDescent="0.25">
      <c r="Y827" s="15"/>
    </row>
    <row r="828" spans="25:25" ht="15.75" customHeight="1" x14ac:dyDescent="0.25">
      <c r="Y828" s="15"/>
    </row>
    <row r="829" spans="25:25" ht="15.75" customHeight="1" x14ac:dyDescent="0.25">
      <c r="Y829" s="15"/>
    </row>
    <row r="830" spans="25:25" ht="15.75" customHeight="1" x14ac:dyDescent="0.25">
      <c r="Y830" s="15"/>
    </row>
    <row r="831" spans="25:25" ht="15.75" customHeight="1" x14ac:dyDescent="0.25">
      <c r="Y831" s="15"/>
    </row>
    <row r="832" spans="25:25" ht="15.75" customHeight="1" x14ac:dyDescent="0.25">
      <c r="Y832" s="15"/>
    </row>
    <row r="833" spans="25:25" ht="15.75" customHeight="1" x14ac:dyDescent="0.25">
      <c r="Y833" s="15"/>
    </row>
    <row r="834" spans="25:25" ht="15.75" customHeight="1" x14ac:dyDescent="0.25">
      <c r="Y834" s="15"/>
    </row>
    <row r="835" spans="25:25" ht="15.75" customHeight="1" x14ac:dyDescent="0.25">
      <c r="Y835" s="15"/>
    </row>
    <row r="836" spans="25:25" ht="15.75" customHeight="1" x14ac:dyDescent="0.25">
      <c r="Y836" s="15"/>
    </row>
    <row r="837" spans="25:25" ht="15.75" customHeight="1" x14ac:dyDescent="0.25">
      <c r="Y837" s="15"/>
    </row>
    <row r="838" spans="25:25" ht="15.75" customHeight="1" x14ac:dyDescent="0.25">
      <c r="Y838" s="15"/>
    </row>
    <row r="839" spans="25:25" ht="15.75" customHeight="1" x14ac:dyDescent="0.25">
      <c r="Y839" s="15"/>
    </row>
    <row r="840" spans="25:25" ht="15.75" customHeight="1" x14ac:dyDescent="0.25">
      <c r="Y840" s="15"/>
    </row>
    <row r="841" spans="25:25" ht="15.75" customHeight="1" x14ac:dyDescent="0.25">
      <c r="Y841" s="15"/>
    </row>
    <row r="842" spans="25:25" ht="15.75" customHeight="1" x14ac:dyDescent="0.25">
      <c r="Y842" s="15"/>
    </row>
    <row r="843" spans="25:25" ht="15.75" customHeight="1" x14ac:dyDescent="0.25">
      <c r="Y843" s="15"/>
    </row>
    <row r="844" spans="25:25" ht="15.75" customHeight="1" x14ac:dyDescent="0.25">
      <c r="Y844" s="15"/>
    </row>
    <row r="845" spans="25:25" ht="15.75" customHeight="1" x14ac:dyDescent="0.25">
      <c r="Y845" s="15"/>
    </row>
    <row r="846" spans="25:25" ht="15.75" customHeight="1" x14ac:dyDescent="0.25">
      <c r="Y846" s="15"/>
    </row>
    <row r="847" spans="25:25" ht="15.75" customHeight="1" x14ac:dyDescent="0.25">
      <c r="Y847" s="15"/>
    </row>
    <row r="848" spans="25:25" ht="15.75" customHeight="1" x14ac:dyDescent="0.25">
      <c r="Y848" s="15"/>
    </row>
    <row r="849" spans="25:25" ht="15.75" customHeight="1" x14ac:dyDescent="0.25">
      <c r="Y849" s="15"/>
    </row>
    <row r="850" spans="25:25" ht="15.75" customHeight="1" x14ac:dyDescent="0.25">
      <c r="Y850" s="15"/>
    </row>
    <row r="851" spans="25:25" ht="15.75" customHeight="1" x14ac:dyDescent="0.25">
      <c r="Y851" s="15"/>
    </row>
    <row r="852" spans="25:25" ht="15.75" customHeight="1" x14ac:dyDescent="0.25">
      <c r="Y852" s="15"/>
    </row>
    <row r="853" spans="25:25" ht="15.75" customHeight="1" x14ac:dyDescent="0.25">
      <c r="Y853" s="15"/>
    </row>
    <row r="854" spans="25:25" ht="15.75" customHeight="1" x14ac:dyDescent="0.25">
      <c r="Y854" s="15"/>
    </row>
    <row r="855" spans="25:25" ht="15.75" customHeight="1" x14ac:dyDescent="0.25">
      <c r="Y855" s="15"/>
    </row>
    <row r="856" spans="25:25" ht="15.75" customHeight="1" x14ac:dyDescent="0.25">
      <c r="Y856" s="15"/>
    </row>
    <row r="857" spans="25:25" ht="15.75" customHeight="1" x14ac:dyDescent="0.25">
      <c r="Y857" s="15"/>
    </row>
    <row r="858" spans="25:25" ht="15.75" customHeight="1" x14ac:dyDescent="0.25">
      <c r="Y858" s="15"/>
    </row>
    <row r="859" spans="25:25" ht="15.75" customHeight="1" x14ac:dyDescent="0.25">
      <c r="Y859" s="15"/>
    </row>
    <row r="860" spans="25:25" ht="15.75" customHeight="1" x14ac:dyDescent="0.25">
      <c r="Y860" s="15"/>
    </row>
    <row r="861" spans="25:25" ht="15.75" customHeight="1" x14ac:dyDescent="0.25">
      <c r="Y861" s="15"/>
    </row>
    <row r="862" spans="25:25" ht="15.75" customHeight="1" x14ac:dyDescent="0.25">
      <c r="Y862" s="15"/>
    </row>
    <row r="863" spans="25:25" ht="15.75" customHeight="1" x14ac:dyDescent="0.25">
      <c r="Y863" s="15"/>
    </row>
    <row r="864" spans="25:25" ht="15.75" customHeight="1" x14ac:dyDescent="0.25">
      <c r="Y864" s="15"/>
    </row>
    <row r="865" spans="25:25" ht="15.75" customHeight="1" x14ac:dyDescent="0.25">
      <c r="Y865" s="15"/>
    </row>
    <row r="866" spans="25:25" ht="15.75" customHeight="1" x14ac:dyDescent="0.25">
      <c r="Y866" s="15"/>
    </row>
    <row r="867" spans="25:25" ht="15.75" customHeight="1" x14ac:dyDescent="0.25">
      <c r="Y867" s="15"/>
    </row>
    <row r="868" spans="25:25" ht="15.75" customHeight="1" x14ac:dyDescent="0.25">
      <c r="Y868" s="15"/>
    </row>
    <row r="869" spans="25:25" ht="15.75" customHeight="1" x14ac:dyDescent="0.25">
      <c r="Y869" s="15"/>
    </row>
    <row r="870" spans="25:25" ht="15.75" customHeight="1" x14ac:dyDescent="0.25">
      <c r="Y870" s="15"/>
    </row>
    <row r="871" spans="25:25" ht="15.75" customHeight="1" x14ac:dyDescent="0.25">
      <c r="Y871" s="15"/>
    </row>
    <row r="872" spans="25:25" ht="15.75" customHeight="1" x14ac:dyDescent="0.25">
      <c r="Y872" s="15"/>
    </row>
    <row r="873" spans="25:25" ht="15.75" customHeight="1" x14ac:dyDescent="0.25">
      <c r="Y873" s="15"/>
    </row>
    <row r="874" spans="25:25" ht="15.75" customHeight="1" x14ac:dyDescent="0.25">
      <c r="Y874" s="15"/>
    </row>
    <row r="875" spans="25:25" ht="15.75" customHeight="1" x14ac:dyDescent="0.25">
      <c r="Y875" s="15"/>
    </row>
    <row r="876" spans="25:25" ht="15.75" customHeight="1" x14ac:dyDescent="0.25">
      <c r="Y876" s="15"/>
    </row>
    <row r="877" spans="25:25" ht="15.75" customHeight="1" x14ac:dyDescent="0.25">
      <c r="Y877" s="15"/>
    </row>
    <row r="878" spans="25:25" ht="15.75" customHeight="1" x14ac:dyDescent="0.25">
      <c r="Y878" s="15"/>
    </row>
    <row r="879" spans="25:25" ht="15.75" customHeight="1" x14ac:dyDescent="0.25">
      <c r="Y879" s="15"/>
    </row>
    <row r="880" spans="25:25" ht="15.75" customHeight="1" x14ac:dyDescent="0.25">
      <c r="Y880" s="15"/>
    </row>
    <row r="881" spans="25:25" ht="15.75" customHeight="1" x14ac:dyDescent="0.25">
      <c r="Y881" s="15"/>
    </row>
    <row r="882" spans="25:25" ht="15.75" customHeight="1" x14ac:dyDescent="0.25">
      <c r="Y882" s="15"/>
    </row>
    <row r="883" spans="25:25" ht="15.75" customHeight="1" x14ac:dyDescent="0.25">
      <c r="Y883" s="15"/>
    </row>
    <row r="884" spans="25:25" ht="15.75" customHeight="1" x14ac:dyDescent="0.25">
      <c r="Y884" s="15"/>
    </row>
    <row r="885" spans="25:25" ht="15.75" customHeight="1" x14ac:dyDescent="0.25">
      <c r="Y885" s="15"/>
    </row>
    <row r="886" spans="25:25" ht="15.75" customHeight="1" x14ac:dyDescent="0.25">
      <c r="Y886" s="15"/>
    </row>
    <row r="887" spans="25:25" ht="15.75" customHeight="1" x14ac:dyDescent="0.25">
      <c r="Y887" s="15"/>
    </row>
    <row r="888" spans="25:25" ht="15.75" customHeight="1" x14ac:dyDescent="0.25">
      <c r="Y888" s="15"/>
    </row>
    <row r="889" spans="25:25" ht="15.75" customHeight="1" x14ac:dyDescent="0.25">
      <c r="Y889" s="15"/>
    </row>
    <row r="890" spans="25:25" ht="15.75" customHeight="1" x14ac:dyDescent="0.25">
      <c r="Y890" s="15"/>
    </row>
    <row r="891" spans="25:25" ht="15.75" customHeight="1" x14ac:dyDescent="0.25">
      <c r="Y891" s="15"/>
    </row>
    <row r="892" spans="25:25" ht="15.75" customHeight="1" x14ac:dyDescent="0.25">
      <c r="Y892" s="15"/>
    </row>
    <row r="893" spans="25:25" ht="15.75" customHeight="1" x14ac:dyDescent="0.25">
      <c r="Y893" s="15"/>
    </row>
    <row r="894" spans="25:25" ht="15.75" customHeight="1" x14ac:dyDescent="0.25">
      <c r="Y894" s="15"/>
    </row>
    <row r="895" spans="25:25" ht="15.75" customHeight="1" x14ac:dyDescent="0.25">
      <c r="Y895" s="15"/>
    </row>
    <row r="896" spans="25:25" ht="15.75" customHeight="1" x14ac:dyDescent="0.25">
      <c r="Y896" s="15"/>
    </row>
    <row r="897" spans="25:25" ht="15.75" customHeight="1" x14ac:dyDescent="0.25">
      <c r="Y897" s="15"/>
    </row>
    <row r="898" spans="25:25" ht="15.75" customHeight="1" x14ac:dyDescent="0.25">
      <c r="Y898" s="15"/>
    </row>
    <row r="899" spans="25:25" ht="15.75" customHeight="1" x14ac:dyDescent="0.25">
      <c r="Y899" s="15"/>
    </row>
    <row r="900" spans="25:25" ht="15.75" customHeight="1" x14ac:dyDescent="0.25">
      <c r="Y900" s="15"/>
    </row>
    <row r="901" spans="25:25" ht="15.75" customHeight="1" x14ac:dyDescent="0.25">
      <c r="Y901" s="15"/>
    </row>
    <row r="902" spans="25:25" ht="15.75" customHeight="1" x14ac:dyDescent="0.25">
      <c r="Y902" s="15"/>
    </row>
    <row r="903" spans="25:25" ht="15.75" customHeight="1" x14ac:dyDescent="0.25">
      <c r="Y903" s="15"/>
    </row>
    <row r="904" spans="25:25" ht="15.75" customHeight="1" x14ac:dyDescent="0.25">
      <c r="Y904" s="15"/>
    </row>
    <row r="905" spans="25:25" ht="15.75" customHeight="1" x14ac:dyDescent="0.25">
      <c r="Y905" s="15"/>
    </row>
    <row r="906" spans="25:25" ht="15.75" customHeight="1" x14ac:dyDescent="0.25">
      <c r="Y906" s="15"/>
    </row>
    <row r="907" spans="25:25" ht="15.75" customHeight="1" x14ac:dyDescent="0.25">
      <c r="Y907" s="15"/>
    </row>
    <row r="908" spans="25:25" ht="15.75" customHeight="1" x14ac:dyDescent="0.25">
      <c r="Y908" s="15"/>
    </row>
    <row r="909" spans="25:25" ht="15.75" customHeight="1" x14ac:dyDescent="0.25">
      <c r="Y909" s="15"/>
    </row>
    <row r="910" spans="25:25" ht="15.75" customHeight="1" x14ac:dyDescent="0.25">
      <c r="Y910" s="15"/>
    </row>
    <row r="911" spans="25:25" ht="15.75" customHeight="1" x14ac:dyDescent="0.25">
      <c r="Y911" s="15"/>
    </row>
    <row r="912" spans="25:25" ht="15.75" customHeight="1" x14ac:dyDescent="0.25">
      <c r="Y912" s="15"/>
    </row>
    <row r="913" spans="25:25" ht="15.75" customHeight="1" x14ac:dyDescent="0.25">
      <c r="Y913" s="15"/>
    </row>
    <row r="914" spans="25:25" ht="15.75" customHeight="1" x14ac:dyDescent="0.25">
      <c r="Y914" s="15"/>
    </row>
    <row r="915" spans="25:25" ht="15.75" customHeight="1" x14ac:dyDescent="0.25">
      <c r="Y915" s="15"/>
    </row>
    <row r="916" spans="25:25" ht="15.75" customHeight="1" x14ac:dyDescent="0.25">
      <c r="Y916" s="15"/>
    </row>
    <row r="917" spans="25:25" ht="15.75" customHeight="1" x14ac:dyDescent="0.25">
      <c r="Y917" s="15"/>
    </row>
    <row r="918" spans="25:25" ht="15.75" customHeight="1" x14ac:dyDescent="0.25">
      <c r="Y918" s="15"/>
    </row>
    <row r="919" spans="25:25" ht="15.75" customHeight="1" x14ac:dyDescent="0.25">
      <c r="Y919" s="15"/>
    </row>
    <row r="920" spans="25:25" ht="15.75" customHeight="1" x14ac:dyDescent="0.25">
      <c r="Y920" s="15"/>
    </row>
    <row r="921" spans="25:25" ht="15.75" customHeight="1" x14ac:dyDescent="0.25">
      <c r="Y921" s="15"/>
    </row>
    <row r="922" spans="25:25" ht="15.75" customHeight="1" x14ac:dyDescent="0.25">
      <c r="Y922" s="15"/>
    </row>
    <row r="923" spans="25:25" ht="15.75" customHeight="1" x14ac:dyDescent="0.25">
      <c r="Y923" s="15"/>
    </row>
    <row r="924" spans="25:25" ht="15.75" customHeight="1" x14ac:dyDescent="0.25">
      <c r="Y924" s="15"/>
    </row>
    <row r="925" spans="25:25" ht="15.75" customHeight="1" x14ac:dyDescent="0.25">
      <c r="Y925" s="15"/>
    </row>
    <row r="926" spans="25:25" ht="15.75" customHeight="1" x14ac:dyDescent="0.25">
      <c r="Y926" s="15"/>
    </row>
    <row r="927" spans="25:25" ht="15.75" customHeight="1" x14ac:dyDescent="0.25">
      <c r="Y927" s="15"/>
    </row>
    <row r="928" spans="25:25" ht="15.75" customHeight="1" x14ac:dyDescent="0.25">
      <c r="Y928" s="15"/>
    </row>
    <row r="929" spans="25:25" ht="15.75" customHeight="1" x14ac:dyDescent="0.25">
      <c r="Y929" s="15"/>
    </row>
    <row r="930" spans="25:25" ht="15.75" customHeight="1" x14ac:dyDescent="0.25">
      <c r="Y930" s="15"/>
    </row>
    <row r="931" spans="25:25" ht="15.75" customHeight="1" x14ac:dyDescent="0.25">
      <c r="Y931" s="15"/>
    </row>
    <row r="932" spans="25:25" ht="15.75" customHeight="1" x14ac:dyDescent="0.25">
      <c r="Y932" s="15"/>
    </row>
    <row r="933" spans="25:25" ht="15.75" customHeight="1" x14ac:dyDescent="0.25">
      <c r="Y933" s="15"/>
    </row>
    <row r="934" spans="25:25" ht="15.75" customHeight="1" x14ac:dyDescent="0.25">
      <c r="Y934" s="15"/>
    </row>
    <row r="935" spans="25:25" ht="15.75" customHeight="1" x14ac:dyDescent="0.25">
      <c r="Y935" s="15"/>
    </row>
    <row r="936" spans="25:25" ht="15.75" customHeight="1" x14ac:dyDescent="0.25">
      <c r="Y936" s="15"/>
    </row>
    <row r="937" spans="25:25" ht="15.75" customHeight="1" x14ac:dyDescent="0.25">
      <c r="Y937" s="15"/>
    </row>
    <row r="938" spans="25:25" ht="15.75" customHeight="1" x14ac:dyDescent="0.25">
      <c r="Y938" s="15"/>
    </row>
    <row r="939" spans="25:25" ht="15.75" customHeight="1" x14ac:dyDescent="0.25">
      <c r="Y939" s="15"/>
    </row>
    <row r="940" spans="25:25" ht="15.75" customHeight="1" x14ac:dyDescent="0.25">
      <c r="Y940" s="15"/>
    </row>
    <row r="941" spans="25:25" ht="15.75" customHeight="1" x14ac:dyDescent="0.25">
      <c r="Y941" s="15"/>
    </row>
    <row r="942" spans="25:25" ht="15.75" customHeight="1" x14ac:dyDescent="0.25">
      <c r="Y942" s="15"/>
    </row>
    <row r="943" spans="25:25" ht="15.75" customHeight="1" x14ac:dyDescent="0.25">
      <c r="Y943" s="15"/>
    </row>
    <row r="944" spans="25:25" ht="15.75" customHeight="1" x14ac:dyDescent="0.25">
      <c r="Y944" s="15"/>
    </row>
    <row r="945" spans="25:25" ht="15.75" customHeight="1" x14ac:dyDescent="0.25">
      <c r="Y945" s="15"/>
    </row>
    <row r="946" spans="25:25" ht="15.75" customHeight="1" x14ac:dyDescent="0.25">
      <c r="Y946" s="15"/>
    </row>
    <row r="947" spans="25:25" ht="15.75" customHeight="1" x14ac:dyDescent="0.25">
      <c r="Y947" s="15"/>
    </row>
    <row r="948" spans="25:25" ht="15.75" customHeight="1" x14ac:dyDescent="0.25">
      <c r="Y948" s="15"/>
    </row>
    <row r="949" spans="25:25" ht="15.75" customHeight="1" x14ac:dyDescent="0.25">
      <c r="Y949" s="15"/>
    </row>
    <row r="950" spans="25:25" ht="15.75" customHeight="1" x14ac:dyDescent="0.25">
      <c r="Y950" s="15"/>
    </row>
    <row r="951" spans="25:25" ht="15.75" customHeight="1" x14ac:dyDescent="0.25">
      <c r="Y951" s="15"/>
    </row>
    <row r="952" spans="25:25" ht="15.75" customHeight="1" x14ac:dyDescent="0.25">
      <c r="Y952" s="15"/>
    </row>
    <row r="953" spans="25:25" ht="15.75" customHeight="1" x14ac:dyDescent="0.25">
      <c r="Y953" s="15"/>
    </row>
    <row r="954" spans="25:25" ht="15.75" customHeight="1" x14ac:dyDescent="0.25">
      <c r="Y954" s="15"/>
    </row>
    <row r="955" spans="25:25" ht="15.75" customHeight="1" x14ac:dyDescent="0.25">
      <c r="Y955" s="15"/>
    </row>
    <row r="956" spans="25:25" ht="15.75" customHeight="1" x14ac:dyDescent="0.25">
      <c r="Y956" s="15"/>
    </row>
    <row r="957" spans="25:25" ht="15.75" customHeight="1" x14ac:dyDescent="0.25">
      <c r="Y957" s="15"/>
    </row>
    <row r="958" spans="25:25" ht="15.75" customHeight="1" x14ac:dyDescent="0.25">
      <c r="Y958" s="15"/>
    </row>
    <row r="959" spans="25:25" ht="15.75" customHeight="1" x14ac:dyDescent="0.25">
      <c r="Y959" s="15"/>
    </row>
    <row r="960" spans="25:25" ht="15.75" customHeight="1" x14ac:dyDescent="0.25">
      <c r="Y960" s="15"/>
    </row>
    <row r="961" spans="25:25" ht="15.75" customHeight="1" x14ac:dyDescent="0.25">
      <c r="Y961" s="15"/>
    </row>
    <row r="962" spans="25:25" ht="15.75" customHeight="1" x14ac:dyDescent="0.25">
      <c r="Y962" s="15"/>
    </row>
    <row r="963" spans="25:25" ht="15.75" customHeight="1" x14ac:dyDescent="0.25">
      <c r="Y963" s="15"/>
    </row>
    <row r="964" spans="25:25" ht="15.75" customHeight="1" x14ac:dyDescent="0.25">
      <c r="Y964" s="15"/>
    </row>
    <row r="965" spans="25:25" ht="15.75" customHeight="1" x14ac:dyDescent="0.25">
      <c r="Y965" s="15"/>
    </row>
    <row r="966" spans="25:25" ht="15.75" customHeight="1" x14ac:dyDescent="0.25">
      <c r="Y966" s="15"/>
    </row>
    <row r="967" spans="25:25" ht="15.75" customHeight="1" x14ac:dyDescent="0.25">
      <c r="Y967" s="15"/>
    </row>
    <row r="968" spans="25:25" ht="15.75" customHeight="1" x14ac:dyDescent="0.25">
      <c r="Y968" s="15"/>
    </row>
    <row r="969" spans="25:25" ht="15.75" customHeight="1" x14ac:dyDescent="0.25">
      <c r="Y969" s="15"/>
    </row>
    <row r="970" spans="25:25" ht="15.75" customHeight="1" x14ac:dyDescent="0.25">
      <c r="Y970" s="15"/>
    </row>
    <row r="971" spans="25:25" ht="15.75" customHeight="1" x14ac:dyDescent="0.25">
      <c r="Y971" s="15"/>
    </row>
    <row r="972" spans="25:25" ht="15.75" customHeight="1" x14ac:dyDescent="0.25">
      <c r="Y972" s="15"/>
    </row>
    <row r="973" spans="25:25" ht="15.75" customHeight="1" x14ac:dyDescent="0.25">
      <c r="Y973" s="15"/>
    </row>
    <row r="974" spans="25:25" ht="15.75" customHeight="1" x14ac:dyDescent="0.25">
      <c r="Y974" s="15"/>
    </row>
    <row r="975" spans="25:25" ht="15.75" customHeight="1" x14ac:dyDescent="0.25">
      <c r="Y975" s="15"/>
    </row>
    <row r="976" spans="25:25" ht="15.75" customHeight="1" x14ac:dyDescent="0.25">
      <c r="Y976" s="15"/>
    </row>
    <row r="977" spans="25:25" ht="15.75" customHeight="1" x14ac:dyDescent="0.25">
      <c r="Y977" s="15"/>
    </row>
    <row r="978" spans="25:25" ht="15.75" customHeight="1" x14ac:dyDescent="0.25">
      <c r="Y978" s="15"/>
    </row>
    <row r="979" spans="25:25" ht="15.75" customHeight="1" x14ac:dyDescent="0.25">
      <c r="Y979" s="15"/>
    </row>
    <row r="980" spans="25:25" ht="15.75" customHeight="1" x14ac:dyDescent="0.25">
      <c r="Y980" s="15"/>
    </row>
    <row r="981" spans="25:25" ht="15.75" customHeight="1" x14ac:dyDescent="0.25">
      <c r="Y981" s="15"/>
    </row>
    <row r="982" spans="25:25" ht="15.75" customHeight="1" x14ac:dyDescent="0.25">
      <c r="Y982" s="15"/>
    </row>
    <row r="983" spans="25:25" ht="15.75" customHeight="1" x14ac:dyDescent="0.25">
      <c r="Y983" s="15"/>
    </row>
    <row r="984" spans="25:25" ht="15.75" customHeight="1" x14ac:dyDescent="0.25">
      <c r="Y984" s="15"/>
    </row>
    <row r="985" spans="25:25" ht="15.75" customHeight="1" x14ac:dyDescent="0.25">
      <c r="Y985" s="15"/>
    </row>
    <row r="986" spans="25:25" ht="15.75" customHeight="1" x14ac:dyDescent="0.25">
      <c r="Y986" s="15"/>
    </row>
    <row r="987" spans="25:25" ht="15.75" customHeight="1" x14ac:dyDescent="0.25">
      <c r="Y987" s="15"/>
    </row>
    <row r="988" spans="25:25" ht="15.75" customHeight="1" x14ac:dyDescent="0.25">
      <c r="Y988" s="15"/>
    </row>
    <row r="989" spans="25:25" ht="15.75" customHeight="1" x14ac:dyDescent="0.25">
      <c r="Y989" s="15"/>
    </row>
    <row r="990" spans="25:25" ht="15.75" customHeight="1" x14ac:dyDescent="0.25">
      <c r="Y990" s="15"/>
    </row>
    <row r="991" spans="25:25" ht="15.75" customHeight="1" x14ac:dyDescent="0.25">
      <c r="Y991" s="15"/>
    </row>
    <row r="992" spans="25:25" ht="15.75" customHeight="1" x14ac:dyDescent="0.25">
      <c r="Y992" s="15"/>
    </row>
    <row r="993" spans="25:25" ht="15.75" customHeight="1" x14ac:dyDescent="0.25">
      <c r="Y993" s="15"/>
    </row>
    <row r="994" spans="25:25" ht="15.75" customHeight="1" x14ac:dyDescent="0.25">
      <c r="Y994" s="15"/>
    </row>
    <row r="995" spans="25:25" ht="15.75" customHeight="1" x14ac:dyDescent="0.25">
      <c r="Y995" s="15"/>
    </row>
    <row r="996" spans="25:25" ht="15.75" customHeight="1" x14ac:dyDescent="0.25">
      <c r="Y996" s="15"/>
    </row>
    <row r="997" spans="25:25" ht="15.75" customHeight="1" x14ac:dyDescent="0.25">
      <c r="Y997" s="15"/>
    </row>
    <row r="998" spans="25:25" ht="15.75" customHeight="1" x14ac:dyDescent="0.25">
      <c r="Y998" s="15"/>
    </row>
    <row r="999" spans="25:25" ht="15.75" customHeight="1" x14ac:dyDescent="0.25">
      <c r="Y999" s="15"/>
    </row>
    <row r="1000" spans="25:25" ht="15.75" customHeight="1" x14ac:dyDescent="0.25">
      <c r="Y1000" s="15"/>
    </row>
  </sheetData>
  <mergeCells count="1">
    <mergeCell ref="Y2:Y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F3" sqref="F3"/>
    </sheetView>
  </sheetViews>
  <sheetFormatPr defaultColWidth="14.42578125" defaultRowHeight="15" customHeight="1" x14ac:dyDescent="0.25"/>
  <cols>
    <col min="1" max="1" width="26.42578125" customWidth="1"/>
    <col min="2" max="2" width="10.5703125" customWidth="1"/>
    <col min="3" max="26" width="8.7109375" customWidth="1"/>
  </cols>
  <sheetData>
    <row r="1" spans="1:16" x14ac:dyDescent="0.25">
      <c r="A1" s="47" t="s">
        <v>1260</v>
      </c>
      <c r="B1" s="47" t="s">
        <v>20</v>
      </c>
      <c r="C1" s="47" t="s">
        <v>21</v>
      </c>
      <c r="D1" s="47" t="s">
        <v>22</v>
      </c>
      <c r="E1" s="47" t="s">
        <v>23</v>
      </c>
      <c r="F1" s="47" t="s">
        <v>24</v>
      </c>
      <c r="G1" s="47" t="s">
        <v>25</v>
      </c>
      <c r="H1" s="47" t="s">
        <v>26</v>
      </c>
      <c r="I1" s="47" t="s">
        <v>27</v>
      </c>
      <c r="J1" s="47" t="s">
        <v>28</v>
      </c>
      <c r="K1" s="47" t="s">
        <v>29</v>
      </c>
      <c r="L1" s="47" t="s">
        <v>30</v>
      </c>
      <c r="M1" s="47" t="s">
        <v>31</v>
      </c>
      <c r="N1" s="47" t="s">
        <v>32</v>
      </c>
      <c r="O1" s="47" t="s">
        <v>33</v>
      </c>
      <c r="P1" s="47" t="s">
        <v>34</v>
      </c>
    </row>
    <row r="2" spans="1:16" x14ac:dyDescent="0.25">
      <c r="A2" s="48" t="s">
        <v>132</v>
      </c>
      <c r="B2" s="49">
        <v>7.9081632653061229E-2</v>
      </c>
      <c r="C2" s="49">
        <v>3.5928143712574849E-2</v>
      </c>
      <c r="D2" s="49">
        <v>5.6818181818181816E-2</v>
      </c>
      <c r="E2" s="49">
        <v>0.19845360824742267</v>
      </c>
      <c r="F2" s="49">
        <v>0.19736842105263158</v>
      </c>
      <c r="G2" s="49">
        <v>0.16666666666666666</v>
      </c>
      <c r="H2" s="49">
        <v>0</v>
      </c>
      <c r="I2" s="49">
        <v>0</v>
      </c>
      <c r="J2" s="49">
        <v>0</v>
      </c>
      <c r="K2" s="49">
        <v>0</v>
      </c>
      <c r="L2" s="49">
        <v>2.4193548387096774E-2</v>
      </c>
      <c r="M2" s="49">
        <v>0.27027027027027029</v>
      </c>
      <c r="N2" s="49">
        <v>0.30357142857142855</v>
      </c>
      <c r="O2" s="49">
        <v>0</v>
      </c>
      <c r="P2" s="49">
        <v>8.1081081081081086E-2</v>
      </c>
    </row>
    <row r="3" spans="1:16" x14ac:dyDescent="0.25">
      <c r="A3" s="48" t="s">
        <v>327</v>
      </c>
      <c r="B3" s="49">
        <v>1.2755102040816327E-2</v>
      </c>
      <c r="C3" s="49">
        <v>0</v>
      </c>
      <c r="D3" s="49">
        <v>0</v>
      </c>
      <c r="E3" s="49">
        <v>1.0309278350515464E-2</v>
      </c>
      <c r="F3" s="49">
        <v>1.0526315789473684E-2</v>
      </c>
      <c r="G3" s="49">
        <v>3.0303030303030304E-2</v>
      </c>
      <c r="H3" s="49">
        <v>0</v>
      </c>
      <c r="I3" s="49">
        <v>0</v>
      </c>
      <c r="J3" s="49">
        <v>0</v>
      </c>
      <c r="K3" s="49">
        <v>0</v>
      </c>
      <c r="L3" s="49">
        <v>0</v>
      </c>
      <c r="M3" s="49">
        <v>2.7027027027027029E-2</v>
      </c>
      <c r="N3" s="49">
        <v>3.5714285714285712E-2</v>
      </c>
      <c r="O3" s="49">
        <v>0</v>
      </c>
      <c r="P3" s="49">
        <v>0</v>
      </c>
    </row>
    <row r="4" spans="1:16" x14ac:dyDescent="0.25">
      <c r="A4" s="48" t="s">
        <v>146</v>
      </c>
      <c r="B4" s="49">
        <v>0.19642857142857142</v>
      </c>
      <c r="C4" s="49">
        <v>0.40119760479041916</v>
      </c>
      <c r="D4" s="49">
        <v>0.33522727272727271</v>
      </c>
      <c r="E4" s="49">
        <v>0.13917525773195877</v>
      </c>
      <c r="F4" s="49">
        <v>0.22894736842105262</v>
      </c>
      <c r="G4" s="49">
        <v>1.5151515151515152E-2</v>
      </c>
      <c r="H4" s="49">
        <v>0</v>
      </c>
      <c r="I4" s="49">
        <v>0</v>
      </c>
      <c r="J4" s="49">
        <v>0</v>
      </c>
      <c r="K4" s="49">
        <v>2.7777777777777776E-2</v>
      </c>
      <c r="L4" s="49">
        <v>0.40322580645161288</v>
      </c>
      <c r="M4" s="49">
        <v>7.4324324324324328E-2</v>
      </c>
      <c r="N4" s="49">
        <v>5.3571428571428568E-2</v>
      </c>
      <c r="O4" s="49">
        <v>0.6</v>
      </c>
      <c r="P4" s="49">
        <v>0.35135135135135137</v>
      </c>
    </row>
    <row r="5" spans="1:16" x14ac:dyDescent="0.25">
      <c r="A5" s="48" t="s">
        <v>386</v>
      </c>
      <c r="B5" s="49">
        <v>5.1020408163265302E-3</v>
      </c>
      <c r="C5" s="49">
        <v>5.9880239520958087E-3</v>
      </c>
      <c r="D5" s="49">
        <v>1.1363636363636364E-2</v>
      </c>
      <c r="E5" s="49">
        <v>1.0309278350515464E-2</v>
      </c>
      <c r="F5" s="49">
        <v>1.0526315789473684E-2</v>
      </c>
      <c r="G5" s="49">
        <v>0</v>
      </c>
      <c r="H5" s="49">
        <v>0</v>
      </c>
      <c r="I5" s="49">
        <v>0</v>
      </c>
      <c r="J5" s="49">
        <v>0</v>
      </c>
      <c r="K5" s="49">
        <v>0</v>
      </c>
      <c r="L5" s="49">
        <v>8.0645161290322578E-3</v>
      </c>
      <c r="M5" s="49">
        <v>0</v>
      </c>
      <c r="N5" s="49">
        <v>3.5714285714285712E-2</v>
      </c>
      <c r="O5" s="49">
        <v>0</v>
      </c>
      <c r="P5" s="49">
        <v>0</v>
      </c>
    </row>
    <row r="6" spans="1:16" x14ac:dyDescent="0.25">
      <c r="A6" s="48" t="s">
        <v>49</v>
      </c>
      <c r="B6" s="49">
        <v>0.61224489795918369</v>
      </c>
      <c r="C6" s="49">
        <v>0.50299401197604787</v>
      </c>
      <c r="D6" s="49">
        <v>0.44886363636363635</v>
      </c>
      <c r="E6" s="49">
        <v>0.39948453608247425</v>
      </c>
      <c r="F6" s="49">
        <v>0.4631578947368421</v>
      </c>
      <c r="G6" s="49">
        <v>0.75757575757575757</v>
      </c>
      <c r="H6" s="49">
        <v>1</v>
      </c>
      <c r="I6" s="49">
        <v>0.84615384615384615</v>
      </c>
      <c r="J6" s="49">
        <v>0.87037037037037035</v>
      </c>
      <c r="K6" s="49">
        <v>0.83333333333333337</v>
      </c>
      <c r="L6" s="49">
        <v>0.4838709677419355</v>
      </c>
      <c r="M6" s="49">
        <v>0.51351351351351349</v>
      </c>
      <c r="N6" s="49">
        <v>0.5</v>
      </c>
      <c r="O6" s="49">
        <v>0.4</v>
      </c>
      <c r="P6" s="49">
        <v>0.51351351351351349</v>
      </c>
    </row>
    <row r="7" spans="1:16" x14ac:dyDescent="0.25">
      <c r="A7" s="48" t="s">
        <v>486</v>
      </c>
      <c r="B7" s="49">
        <v>1.020408163265306E-2</v>
      </c>
      <c r="C7" s="49">
        <v>0</v>
      </c>
      <c r="D7" s="49">
        <v>1.1363636363636364E-2</v>
      </c>
      <c r="E7" s="49">
        <v>2.8350515463917526E-2</v>
      </c>
      <c r="F7" s="49">
        <v>2.8947368421052631E-2</v>
      </c>
      <c r="G7" s="49">
        <v>0</v>
      </c>
      <c r="H7" s="49">
        <v>0</v>
      </c>
      <c r="I7" s="49">
        <v>0</v>
      </c>
      <c r="J7" s="49">
        <v>0</v>
      </c>
      <c r="K7" s="49">
        <v>0</v>
      </c>
      <c r="L7" s="49">
        <v>0</v>
      </c>
      <c r="M7" s="49">
        <v>8.1081081081081086E-2</v>
      </c>
      <c r="N7" s="49">
        <v>3.5714285714285712E-2</v>
      </c>
      <c r="O7" s="49">
        <v>0</v>
      </c>
      <c r="P7" s="49">
        <v>0</v>
      </c>
    </row>
    <row r="8" spans="1:16" x14ac:dyDescent="0.25">
      <c r="A8" s="48" t="s">
        <v>829</v>
      </c>
      <c r="B8" s="49">
        <v>0</v>
      </c>
      <c r="C8" s="49">
        <v>0</v>
      </c>
      <c r="D8" s="49">
        <v>5.681818181818182E-3</v>
      </c>
      <c r="E8" s="49">
        <v>5.1546391752577319E-3</v>
      </c>
      <c r="F8" s="49">
        <v>0</v>
      </c>
      <c r="G8" s="49">
        <v>0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</row>
    <row r="9" spans="1:16" x14ac:dyDescent="0.25">
      <c r="A9" s="48" t="s">
        <v>508</v>
      </c>
      <c r="B9" s="49">
        <v>4.5918367346938778E-2</v>
      </c>
      <c r="C9" s="49">
        <v>2.3952095808383235E-2</v>
      </c>
      <c r="D9" s="49">
        <v>3.4090909090909088E-2</v>
      </c>
      <c r="E9" s="49">
        <v>1.804123711340206E-2</v>
      </c>
      <c r="F9" s="49">
        <v>3.4210526315789476E-2</v>
      </c>
      <c r="G9" s="49">
        <v>0</v>
      </c>
      <c r="H9" s="49">
        <v>0</v>
      </c>
      <c r="I9" s="49">
        <v>0.12820512820512819</v>
      </c>
      <c r="J9" s="49">
        <v>0.12962962962962962</v>
      </c>
      <c r="K9" s="49">
        <v>0.125</v>
      </c>
      <c r="L9" s="49">
        <v>3.2258064516129031E-2</v>
      </c>
      <c r="M9" s="49">
        <v>0</v>
      </c>
      <c r="N9" s="49">
        <v>0</v>
      </c>
      <c r="O9" s="49">
        <v>0</v>
      </c>
      <c r="P9" s="49">
        <v>0</v>
      </c>
    </row>
    <row r="10" spans="1:16" x14ac:dyDescent="0.25">
      <c r="A10" s="48" t="s">
        <v>107</v>
      </c>
      <c r="B10" s="49">
        <v>3.826530612244898E-2</v>
      </c>
      <c r="C10" s="49">
        <v>2.9940119760479042E-2</v>
      </c>
      <c r="D10" s="49">
        <v>9.6590909090909088E-2</v>
      </c>
      <c r="E10" s="49">
        <v>0.19072164948453607</v>
      </c>
      <c r="F10" s="49">
        <v>2.6315789473684209E-2</v>
      </c>
      <c r="G10" s="49">
        <v>3.0303030303030304E-2</v>
      </c>
      <c r="H10" s="49">
        <v>0</v>
      </c>
      <c r="I10" s="49">
        <v>2.564102564102564E-2</v>
      </c>
      <c r="J10" s="49">
        <v>0</v>
      </c>
      <c r="K10" s="49">
        <v>1.3888888888888888E-2</v>
      </c>
      <c r="L10" s="49">
        <v>4.8387096774193547E-2</v>
      </c>
      <c r="M10" s="49">
        <v>3.3783783783783786E-2</v>
      </c>
      <c r="N10" s="49">
        <v>3.5714285714285712E-2</v>
      </c>
      <c r="O10" s="49">
        <v>0</v>
      </c>
      <c r="P10" s="49">
        <v>5.4054054054054057E-2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B1:P10">
    <cfRule type="colorScale" priority="2">
      <colorScale>
        <cfvo type="min"/>
        <cfvo type="max"/>
        <color rgb="FF63BE7B"/>
        <color rgb="FFFCFCFF"/>
      </colorScale>
    </cfRule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63BE7B"/>
        <color rgb="FFFFEF9C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B2:P1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topLeftCell="A21" workbookViewId="0"/>
  </sheetViews>
  <sheetFormatPr defaultColWidth="14.42578125" defaultRowHeight="15" customHeight="1" x14ac:dyDescent="0.25"/>
  <cols>
    <col min="1" max="26" width="8.7109375" customWidth="1"/>
  </cols>
  <sheetData>
    <row r="1" spans="1:21" x14ac:dyDescent="0.25">
      <c r="A1" s="50" t="s">
        <v>1261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52" t="s">
        <v>1262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21" x14ac:dyDescent="0.25">
      <c r="A3" s="52" t="s">
        <v>1263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</row>
    <row r="4" spans="1:21" x14ac:dyDescent="0.25">
      <c r="A4" s="52" t="s">
        <v>1264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</row>
    <row r="5" spans="1:21" x14ac:dyDescent="0.25">
      <c r="A5" s="52" t="s">
        <v>1265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</row>
    <row r="6" spans="1:21" x14ac:dyDescent="0.25">
      <c r="A6" s="52" t="s">
        <v>1266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 spans="1:21" x14ac:dyDescent="0.25">
      <c r="A7" s="52" t="s">
        <v>1267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</row>
    <row r="8" spans="1:21" x14ac:dyDescent="0.25">
      <c r="A8" s="52" t="s">
        <v>1268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</row>
    <row r="9" spans="1:21" x14ac:dyDescent="0.25">
      <c r="A9" s="52" t="s">
        <v>1269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</row>
    <row r="10" spans="1:21" x14ac:dyDescent="0.25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</row>
    <row r="11" spans="1:21" x14ac:dyDescent="0.25">
      <c r="A11" s="54" t="s">
        <v>1270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spans="1:21" x14ac:dyDescent="0.25">
      <c r="A12" s="55" t="s">
        <v>1271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</row>
    <row r="13" spans="1:21" x14ac:dyDescent="0.25">
      <c r="A13" s="55" t="s">
        <v>1272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</row>
    <row r="14" spans="1:21" x14ac:dyDescent="0.25">
      <c r="A14" s="55" t="s">
        <v>1273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</row>
    <row r="15" spans="1:21" x14ac:dyDescent="0.25">
      <c r="A15" s="55" t="s">
        <v>1274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 spans="1:21" x14ac:dyDescent="0.25">
      <c r="A16" s="52" t="s">
        <v>136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 spans="1:21" x14ac:dyDescent="0.25">
      <c r="A17" s="52" t="s">
        <v>216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</row>
    <row r="18" spans="1:21" x14ac:dyDescent="0.25">
      <c r="A18" s="52" t="s">
        <v>155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 spans="1:21" x14ac:dyDescent="0.25">
      <c r="A19" s="52" t="s">
        <v>161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1:21" x14ac:dyDescent="0.25">
      <c r="A20" s="52" t="s">
        <v>213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1:21" ht="15.75" customHeight="1" x14ac:dyDescent="0.25">
      <c r="A21" s="55" t="s">
        <v>1275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</row>
    <row r="22" spans="1:21" ht="15.75" customHeight="1" x14ac:dyDescent="0.25">
      <c r="A22" s="55" t="s">
        <v>1276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</row>
    <row r="23" spans="1:21" ht="15.75" customHeight="1" x14ac:dyDescent="0.25">
      <c r="A23" s="55" t="s">
        <v>1277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</row>
    <row r="24" spans="1:21" ht="15.75" customHeight="1" x14ac:dyDescent="0.25">
      <c r="A24" s="55" t="s">
        <v>1278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</row>
    <row r="25" spans="1:21" ht="15.75" customHeigh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1:21" ht="15.75" customHeight="1" x14ac:dyDescent="0.25">
      <c r="A26" s="54" t="s">
        <v>1279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</row>
    <row r="27" spans="1:21" ht="15.75" customHeight="1" x14ac:dyDescent="0.25">
      <c r="A27" s="52" t="s">
        <v>1280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</row>
    <row r="28" spans="1:21" ht="15.75" customHeight="1" x14ac:dyDescent="0.25">
      <c r="A28" s="52" t="s">
        <v>1281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</row>
    <row r="29" spans="1:21" ht="15.75" customHeight="1" x14ac:dyDescent="0.25">
      <c r="A29" s="52" t="s">
        <v>1282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</row>
    <row r="30" spans="1:21" ht="15.75" customHeight="1" x14ac:dyDescent="0.25">
      <c r="A30" s="52" t="s">
        <v>1283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 spans="1:21" ht="15.75" customHeight="1" x14ac:dyDescent="0.25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</row>
    <row r="32" spans="1:21" ht="15.75" customHeight="1" x14ac:dyDescent="0.25">
      <c r="A32" s="54" t="s">
        <v>1284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</row>
    <row r="33" spans="1:21" ht="15.75" customHeight="1" x14ac:dyDescent="0.25">
      <c r="A33" s="52" t="s">
        <v>1285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</row>
    <row r="34" spans="1:21" ht="15.75" customHeight="1" x14ac:dyDescent="0.25">
      <c r="A34" s="52" t="s">
        <v>1286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</row>
    <row r="35" spans="1:21" ht="15.75" customHeight="1" x14ac:dyDescent="0.25">
      <c r="A35" s="52" t="s">
        <v>1287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</row>
    <row r="36" spans="1:21" ht="15.75" customHeight="1" x14ac:dyDescent="0.25">
      <c r="A36" s="52" t="s">
        <v>1288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</row>
    <row r="37" spans="1:21" ht="15.75" customHeight="1" x14ac:dyDescent="0.25">
      <c r="A37" s="52" t="s">
        <v>1289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</row>
    <row r="38" spans="1:21" ht="15.75" customHeight="1" x14ac:dyDescent="0.25">
      <c r="A38" s="52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5.75" customHeight="1" x14ac:dyDescent="0.25">
      <c r="A39" s="52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</row>
    <row r="40" spans="1:21" ht="15.75" customHeight="1" x14ac:dyDescent="0.25">
      <c r="A40" s="52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</row>
    <row r="41" spans="1:21" ht="15.75" customHeight="1" x14ac:dyDescent="0.25">
      <c r="A41" s="52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</row>
    <row r="42" spans="1:21" ht="15.75" customHeight="1" x14ac:dyDescent="0.25">
      <c r="A42" s="52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1:21" ht="15.75" customHeight="1" x14ac:dyDescent="0.25">
      <c r="A43" s="52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</row>
    <row r="44" spans="1:21" ht="15.75" customHeight="1" x14ac:dyDescent="0.25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</row>
    <row r="45" spans="1:21" ht="15.75" customHeight="1" x14ac:dyDescent="0.25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</row>
    <row r="46" spans="1:21" ht="15.75" customHeight="1" x14ac:dyDescent="0.25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 spans="1:21" ht="15.75" customHeight="1" x14ac:dyDescent="0.25">
      <c r="A47" s="52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</row>
    <row r="48" spans="1:21" ht="15.75" customHeight="1" x14ac:dyDescent="0.25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</row>
    <row r="49" spans="1:21" ht="15.75" customHeight="1" x14ac:dyDescent="0.25">
      <c r="A49" s="52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</row>
    <row r="50" spans="1:21" ht="15.75" customHeight="1" x14ac:dyDescent="0.25">
      <c r="A50" s="52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</row>
    <row r="51" spans="1:21" ht="15.75" customHeight="1" x14ac:dyDescent="0.25">
      <c r="A51" s="5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</row>
    <row r="52" spans="1:21" ht="15.75" customHeight="1" x14ac:dyDescent="0.25">
      <c r="A52" s="5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</row>
    <row r="53" spans="1:21" ht="15.75" customHeight="1" x14ac:dyDescent="0.25">
      <c r="A53" s="52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 spans="1:21" ht="15.75" customHeight="1" x14ac:dyDescent="0.25">
      <c r="A54" s="52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</row>
    <row r="55" spans="1:21" ht="15.75" customHeight="1" x14ac:dyDescent="0.25">
      <c r="A55" s="52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</row>
    <row r="56" spans="1:21" ht="15.75" customHeight="1" x14ac:dyDescent="0.25">
      <c r="A56" s="52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</row>
    <row r="57" spans="1:21" ht="15.75" customHeight="1" x14ac:dyDescent="0.25">
      <c r="A57" s="52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</row>
    <row r="58" spans="1:21" ht="15.75" customHeight="1" x14ac:dyDescent="0.25">
      <c r="A58" s="52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</row>
    <row r="59" spans="1:21" ht="15.75" customHeight="1" x14ac:dyDescent="0.25">
      <c r="A59" s="52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</row>
    <row r="60" spans="1:21" ht="15.75" customHeight="1" x14ac:dyDescent="0.25">
      <c r="A60" s="52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</row>
    <row r="61" spans="1:21" ht="15.75" customHeight="1" x14ac:dyDescent="0.25">
      <c r="A61" s="52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 spans="1:21" ht="15.75" customHeight="1" x14ac:dyDescent="0.25">
      <c r="A62" s="52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 spans="1:21" ht="15.75" customHeight="1" x14ac:dyDescent="0.25">
      <c r="A63" s="52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 spans="1:21" ht="15.75" customHeight="1" x14ac:dyDescent="0.25">
      <c r="A64" s="52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 spans="1:21" ht="15.75" customHeight="1" x14ac:dyDescent="0.25">
      <c r="A65" s="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1:21" ht="15.75" customHeight="1" x14ac:dyDescent="0.25">
      <c r="A66" s="52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 spans="1:21" ht="15.75" customHeight="1" x14ac:dyDescent="0.25">
      <c r="A67" s="52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</row>
    <row r="68" spans="1:21" ht="15.75" customHeight="1" x14ac:dyDescent="0.25">
      <c r="A68" s="52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 spans="1:21" ht="15.75" customHeight="1" x14ac:dyDescent="0.25">
      <c r="A69" s="52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 spans="1:21" ht="15.75" customHeight="1" x14ac:dyDescent="0.25">
      <c r="A70" s="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 spans="1:21" ht="15.75" customHeight="1" x14ac:dyDescent="0.25">
      <c r="A71" s="52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</row>
    <row r="72" spans="1:21" ht="15.75" customHeight="1" x14ac:dyDescent="0.25">
      <c r="A72" s="52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</row>
    <row r="73" spans="1:21" ht="15.75" customHeight="1" x14ac:dyDescent="0.25">
      <c r="A73" s="52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</row>
    <row r="74" spans="1:21" ht="15.75" customHeight="1" x14ac:dyDescent="0.25">
      <c r="A74" s="52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</row>
    <row r="75" spans="1:21" ht="15.75" customHeight="1" x14ac:dyDescent="0.25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</row>
    <row r="76" spans="1:21" ht="15.75" customHeight="1" x14ac:dyDescent="0.25">
      <c r="A76" s="52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</row>
    <row r="77" spans="1:21" ht="15.75" customHeight="1" x14ac:dyDescent="0.25">
      <c r="A77" s="52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</row>
    <row r="78" spans="1:21" ht="15.75" customHeight="1" x14ac:dyDescent="0.25">
      <c r="A78" s="52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</row>
    <row r="79" spans="1:21" ht="15.75" customHeight="1" x14ac:dyDescent="0.25">
      <c r="A79" s="52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</row>
    <row r="80" spans="1:21" ht="15.75" customHeight="1" x14ac:dyDescent="0.25">
      <c r="A80" s="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</row>
    <row r="81" spans="1:21" ht="15.75" customHeight="1" x14ac:dyDescent="0.25">
      <c r="A81" s="52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</row>
    <row r="82" spans="1:21" ht="15.75" customHeight="1" x14ac:dyDescent="0.25">
      <c r="A82" s="52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</row>
    <row r="83" spans="1:21" ht="15.75" customHeight="1" x14ac:dyDescent="0.25">
      <c r="A83" s="52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 spans="1:21" ht="15.75" customHeight="1" x14ac:dyDescent="0.25">
      <c r="A84" s="52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</row>
    <row r="85" spans="1:21" ht="15.75" customHeight="1" x14ac:dyDescent="0.25">
      <c r="A85" s="52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  <row r="86" spans="1:21" ht="15.75" customHeight="1" x14ac:dyDescent="0.25">
      <c r="A86" s="52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</row>
    <row r="87" spans="1:21" ht="15.75" customHeight="1" x14ac:dyDescent="0.25">
      <c r="A87" s="52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</row>
    <row r="88" spans="1:21" ht="15.75" customHeight="1" x14ac:dyDescent="0.25">
      <c r="A88" s="52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</row>
    <row r="89" spans="1:21" ht="15.75" customHeight="1" x14ac:dyDescent="0.25">
      <c r="A89" s="52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</row>
    <row r="90" spans="1:21" ht="15.75" customHeight="1" x14ac:dyDescent="0.25">
      <c r="A90" s="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</row>
    <row r="91" spans="1:21" ht="15.75" customHeight="1" x14ac:dyDescent="0.25">
      <c r="A91" s="52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</row>
    <row r="92" spans="1:21" ht="15.75" customHeight="1" x14ac:dyDescent="0.25">
      <c r="A92" s="52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</row>
    <row r="93" spans="1:21" ht="15.75" customHeight="1" x14ac:dyDescent="0.25">
      <c r="A93" s="52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</row>
    <row r="94" spans="1:21" ht="15.75" customHeight="1" x14ac:dyDescent="0.25">
      <c r="A94" s="52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</row>
    <row r="95" spans="1:21" ht="15.75" customHeight="1" x14ac:dyDescent="0.25">
      <c r="A95" s="52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</row>
    <row r="96" spans="1:21" ht="15.75" customHeight="1" x14ac:dyDescent="0.25">
      <c r="A96" s="52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</row>
    <row r="97" spans="1:21" ht="15.75" customHeight="1" x14ac:dyDescent="0.25">
      <c r="A97" s="52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</row>
    <row r="98" spans="1:21" ht="15.75" customHeight="1" x14ac:dyDescent="0.25">
      <c r="A98" s="52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</row>
    <row r="99" spans="1:21" ht="15.75" customHeight="1" x14ac:dyDescent="0.25">
      <c r="A99" s="52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</row>
    <row r="100" spans="1:21" ht="15.75" customHeight="1" x14ac:dyDescent="0.25">
      <c r="A100" s="52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</row>
    <row r="101" spans="1:21" ht="15.75" customHeight="1" x14ac:dyDescent="0.25">
      <c r="A101" s="52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</row>
    <row r="102" spans="1:21" ht="15.75" customHeight="1" x14ac:dyDescent="0.25">
      <c r="A102" s="52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</row>
    <row r="103" spans="1:21" ht="15.75" customHeight="1" x14ac:dyDescent="0.25">
      <c r="A103" s="52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</row>
    <row r="104" spans="1:21" ht="15.75" customHeight="1" x14ac:dyDescent="0.25">
      <c r="A104" s="52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</row>
    <row r="105" spans="1:21" ht="15.75" customHeight="1" x14ac:dyDescent="0.25">
      <c r="A105" s="52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</row>
    <row r="106" spans="1:21" ht="15.75" customHeight="1" x14ac:dyDescent="0.25">
      <c r="A106" s="52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</row>
    <row r="107" spans="1:21" ht="15.75" customHeight="1" x14ac:dyDescent="0.25">
      <c r="A107" s="52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</row>
    <row r="108" spans="1:21" ht="15.75" customHeight="1" x14ac:dyDescent="0.25">
      <c r="A108" s="52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</row>
    <row r="109" spans="1:21" ht="15.75" customHeight="1" x14ac:dyDescent="0.25">
      <c r="A109" s="52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</row>
    <row r="110" spans="1:21" ht="15.75" customHeight="1" x14ac:dyDescent="0.25">
      <c r="A110" s="52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</row>
    <row r="111" spans="1:21" ht="15.75" customHeight="1" x14ac:dyDescent="0.25">
      <c r="A111" s="52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</row>
    <row r="112" spans="1:21" ht="15.75" customHeight="1" x14ac:dyDescent="0.25">
      <c r="A112" s="52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</row>
    <row r="113" spans="1:21" ht="15.75" customHeight="1" x14ac:dyDescent="0.25">
      <c r="A113" s="52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</row>
    <row r="114" spans="1:21" ht="15.75" customHeight="1" x14ac:dyDescent="0.25">
      <c r="A114" s="52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</row>
    <row r="115" spans="1:21" ht="15.75" customHeight="1" x14ac:dyDescent="0.25">
      <c r="A115" s="52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</row>
    <row r="116" spans="1:21" ht="15.75" customHeight="1" x14ac:dyDescent="0.25">
      <c r="A116" s="52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</row>
    <row r="117" spans="1:21" ht="15.75" customHeight="1" x14ac:dyDescent="0.25">
      <c r="A117" s="52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</row>
    <row r="118" spans="1:21" ht="15.75" customHeight="1" x14ac:dyDescent="0.25">
      <c r="A118" s="52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</row>
    <row r="119" spans="1:21" ht="15.75" customHeight="1" x14ac:dyDescent="0.25">
      <c r="A119" s="52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</row>
    <row r="120" spans="1:21" ht="15.75" customHeight="1" x14ac:dyDescent="0.25">
      <c r="A120" s="52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</row>
    <row r="121" spans="1:21" ht="15.75" customHeight="1" x14ac:dyDescent="0.25">
      <c r="A121" s="52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</row>
    <row r="122" spans="1:21" ht="15.75" customHeight="1" x14ac:dyDescent="0.25">
      <c r="A122" s="52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</row>
    <row r="123" spans="1:21" ht="15.75" customHeight="1" x14ac:dyDescent="0.25">
      <c r="A123" s="52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</row>
    <row r="124" spans="1:21" ht="15.75" customHeight="1" x14ac:dyDescent="0.25">
      <c r="A124" s="52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</row>
    <row r="125" spans="1:21" ht="15.75" customHeight="1" x14ac:dyDescent="0.25">
      <c r="A125" s="52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</row>
    <row r="126" spans="1:21" ht="15.75" customHeight="1" x14ac:dyDescent="0.25">
      <c r="A126" s="52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</row>
    <row r="127" spans="1:21" ht="15.75" customHeight="1" x14ac:dyDescent="0.25">
      <c r="A127" s="52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</row>
    <row r="128" spans="1:21" ht="15.75" customHeight="1" x14ac:dyDescent="0.25">
      <c r="A128" s="52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</row>
    <row r="129" spans="1:21" ht="15.75" customHeight="1" x14ac:dyDescent="0.25">
      <c r="A129" s="52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</row>
    <row r="130" spans="1:21" ht="15.75" customHeight="1" x14ac:dyDescent="0.25">
      <c r="A130" s="52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</row>
    <row r="131" spans="1:21" ht="15.75" customHeight="1" x14ac:dyDescent="0.25">
      <c r="A131" s="52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</row>
    <row r="132" spans="1:21" ht="15.75" customHeight="1" x14ac:dyDescent="0.25">
      <c r="A132" s="52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</row>
    <row r="133" spans="1:21" ht="15.75" customHeight="1" x14ac:dyDescent="0.25">
      <c r="A133" s="52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</row>
    <row r="134" spans="1:21" ht="15.75" customHeight="1" x14ac:dyDescent="0.25">
      <c r="A134" s="52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</row>
    <row r="135" spans="1:21" ht="15.75" customHeight="1" x14ac:dyDescent="0.25">
      <c r="A135" s="52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</row>
    <row r="136" spans="1:21" ht="15.75" customHeight="1" x14ac:dyDescent="0.25">
      <c r="A136" s="52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</row>
    <row r="137" spans="1:21" ht="15.75" customHeight="1" x14ac:dyDescent="0.25">
      <c r="A137" s="52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</row>
    <row r="138" spans="1:21" ht="15.75" customHeight="1" x14ac:dyDescent="0.25">
      <c r="A138" s="52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</row>
    <row r="139" spans="1:21" ht="15.75" customHeight="1" x14ac:dyDescent="0.25">
      <c r="A139" s="52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</row>
    <row r="140" spans="1:21" ht="15.75" customHeight="1" x14ac:dyDescent="0.25">
      <c r="A140" s="52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</row>
    <row r="141" spans="1:21" ht="15.75" customHeight="1" x14ac:dyDescent="0.25">
      <c r="A141" s="52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</row>
    <row r="142" spans="1:21" ht="15.75" customHeight="1" x14ac:dyDescent="0.25">
      <c r="A142" s="52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 spans="1:21" ht="15.75" customHeight="1" x14ac:dyDescent="0.25">
      <c r="A143" s="52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</row>
    <row r="144" spans="1:21" ht="15.75" customHeight="1" x14ac:dyDescent="0.25">
      <c r="A144" s="52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</row>
    <row r="145" spans="1:21" ht="15.75" customHeight="1" x14ac:dyDescent="0.25">
      <c r="A145" s="52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</row>
    <row r="146" spans="1:21" ht="15.75" customHeight="1" x14ac:dyDescent="0.25">
      <c r="A146" s="52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</row>
    <row r="147" spans="1:21" ht="15.75" customHeight="1" x14ac:dyDescent="0.25">
      <c r="A147" s="52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</row>
    <row r="148" spans="1:21" ht="15.75" customHeight="1" x14ac:dyDescent="0.25">
      <c r="A148" s="52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</row>
    <row r="149" spans="1:21" ht="15.75" customHeight="1" x14ac:dyDescent="0.25">
      <c r="A149" s="52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</row>
    <row r="150" spans="1:21" ht="15.75" customHeight="1" x14ac:dyDescent="0.25">
      <c r="A150" s="52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</row>
    <row r="151" spans="1:21" ht="15.75" customHeight="1" x14ac:dyDescent="0.25">
      <c r="A151" s="52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</row>
    <row r="152" spans="1:21" ht="15.75" customHeight="1" x14ac:dyDescent="0.25">
      <c r="A152" s="52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</row>
    <row r="153" spans="1:21" ht="15.75" customHeight="1" x14ac:dyDescent="0.25">
      <c r="A153" s="52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</row>
    <row r="154" spans="1:21" ht="15.75" customHeight="1" x14ac:dyDescent="0.25">
      <c r="A154" s="52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</row>
    <row r="155" spans="1:21" ht="15.75" customHeight="1" x14ac:dyDescent="0.25">
      <c r="A155" s="52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</row>
    <row r="156" spans="1:21" ht="15.75" customHeight="1" x14ac:dyDescent="0.25">
      <c r="A156" s="52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</row>
    <row r="157" spans="1:21" ht="15.75" customHeight="1" x14ac:dyDescent="0.25">
      <c r="A157" s="52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</row>
    <row r="158" spans="1:21" ht="15.75" customHeight="1" x14ac:dyDescent="0.25">
      <c r="A158" s="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</row>
    <row r="159" spans="1:21" ht="15.75" customHeight="1" x14ac:dyDescent="0.25">
      <c r="A159" s="52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</row>
    <row r="160" spans="1:21" ht="15.75" customHeight="1" x14ac:dyDescent="0.25">
      <c r="A160" s="52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</row>
    <row r="161" spans="1:21" ht="15.75" customHeight="1" x14ac:dyDescent="0.25">
      <c r="A161" s="52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</row>
    <row r="162" spans="1:21" ht="15.75" customHeight="1" x14ac:dyDescent="0.25">
      <c r="A162" s="52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</row>
    <row r="163" spans="1:21" ht="15.75" customHeight="1" x14ac:dyDescent="0.25">
      <c r="A163" s="52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</row>
    <row r="164" spans="1:21" ht="15.75" customHeight="1" x14ac:dyDescent="0.25">
      <c r="A164" s="52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</row>
    <row r="165" spans="1:21" ht="15.75" customHeight="1" x14ac:dyDescent="0.25">
      <c r="A165" s="52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</row>
    <row r="166" spans="1:21" ht="15.75" customHeight="1" x14ac:dyDescent="0.25">
      <c r="A166" s="52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</row>
    <row r="167" spans="1:21" ht="15.75" customHeight="1" x14ac:dyDescent="0.25">
      <c r="A167" s="52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</row>
    <row r="168" spans="1:21" ht="15.75" customHeight="1" x14ac:dyDescent="0.25">
      <c r="A168" s="52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</row>
    <row r="169" spans="1:21" ht="15.75" customHeight="1" x14ac:dyDescent="0.25">
      <c r="A169" s="52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</row>
    <row r="170" spans="1:21" ht="15.75" customHeight="1" x14ac:dyDescent="0.25">
      <c r="A170" s="52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</row>
    <row r="171" spans="1:21" ht="15.75" customHeight="1" x14ac:dyDescent="0.25">
      <c r="A171" s="52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</row>
    <row r="172" spans="1:21" ht="15.75" customHeight="1" x14ac:dyDescent="0.25">
      <c r="A172" s="52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</row>
    <row r="173" spans="1:21" ht="15.75" customHeight="1" x14ac:dyDescent="0.25">
      <c r="A173" s="52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</row>
    <row r="174" spans="1:21" ht="15.75" customHeight="1" x14ac:dyDescent="0.25">
      <c r="A174" s="52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</row>
    <row r="175" spans="1:21" ht="15.75" customHeight="1" x14ac:dyDescent="0.25">
      <c r="A175" s="52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</row>
    <row r="176" spans="1:21" ht="15.75" customHeight="1" x14ac:dyDescent="0.25">
      <c r="A176" s="52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</row>
    <row r="177" spans="1:21" ht="15.75" customHeight="1" x14ac:dyDescent="0.25">
      <c r="A177" s="52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</row>
    <row r="178" spans="1:21" ht="15.75" customHeight="1" x14ac:dyDescent="0.25">
      <c r="A178" s="52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</row>
    <row r="179" spans="1:21" ht="15.75" customHeight="1" x14ac:dyDescent="0.25">
      <c r="A179" s="52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</row>
    <row r="180" spans="1:21" ht="15.75" customHeight="1" x14ac:dyDescent="0.25">
      <c r="A180" s="52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</row>
    <row r="181" spans="1:21" ht="15.75" customHeight="1" x14ac:dyDescent="0.25">
      <c r="A181" s="52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</row>
    <row r="182" spans="1:21" ht="15.75" customHeight="1" x14ac:dyDescent="0.25">
      <c r="A182" s="52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</row>
    <row r="183" spans="1:21" ht="15.75" customHeight="1" x14ac:dyDescent="0.25">
      <c r="A183" s="52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</row>
    <row r="184" spans="1:21" ht="15.75" customHeight="1" x14ac:dyDescent="0.25">
      <c r="A184" s="52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</row>
    <row r="185" spans="1:21" ht="15.75" customHeight="1" x14ac:dyDescent="0.25">
      <c r="A185" s="52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</row>
    <row r="186" spans="1:21" ht="15.75" customHeight="1" x14ac:dyDescent="0.25">
      <c r="A186" s="52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</row>
    <row r="187" spans="1:21" ht="15.75" customHeight="1" x14ac:dyDescent="0.25">
      <c r="A187" s="52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</row>
    <row r="188" spans="1:21" ht="15.75" customHeight="1" x14ac:dyDescent="0.25">
      <c r="A188" s="52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</row>
    <row r="189" spans="1:21" ht="15.75" customHeight="1" x14ac:dyDescent="0.25">
      <c r="A189" s="52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</row>
    <row r="190" spans="1:21" ht="15.75" customHeight="1" x14ac:dyDescent="0.25">
      <c r="A190" s="52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</row>
    <row r="191" spans="1:21" ht="15.75" customHeight="1" x14ac:dyDescent="0.25">
      <c r="A191" s="52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</row>
    <row r="192" spans="1:21" ht="15.75" customHeight="1" x14ac:dyDescent="0.25">
      <c r="A192" s="52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</row>
    <row r="193" spans="1:21" ht="15.75" customHeight="1" x14ac:dyDescent="0.25">
      <c r="A193" s="52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</row>
    <row r="194" spans="1:21" ht="15.75" customHeight="1" x14ac:dyDescent="0.25">
      <c r="A194" s="52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</row>
    <row r="195" spans="1:21" ht="15.75" customHeight="1" x14ac:dyDescent="0.25">
      <c r="A195" s="52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</row>
    <row r="196" spans="1:21" ht="15.75" customHeight="1" x14ac:dyDescent="0.25">
      <c r="A196" s="52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</row>
    <row r="197" spans="1:21" ht="15.75" customHeight="1" x14ac:dyDescent="0.25">
      <c r="A197" s="52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</row>
    <row r="198" spans="1:21" ht="15.75" customHeight="1" x14ac:dyDescent="0.25">
      <c r="A198" s="52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</row>
    <row r="199" spans="1:21" ht="15.75" customHeight="1" x14ac:dyDescent="0.25">
      <c r="A199" s="52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</row>
    <row r="200" spans="1:21" ht="15.75" customHeight="1" x14ac:dyDescent="0.25">
      <c r="A200" s="52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</row>
    <row r="201" spans="1:21" ht="15.75" customHeight="1" x14ac:dyDescent="0.25">
      <c r="A201" s="52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</row>
    <row r="202" spans="1:21" ht="15.75" customHeight="1" x14ac:dyDescent="0.25">
      <c r="A202" s="52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</row>
    <row r="203" spans="1:21" ht="15.75" customHeight="1" x14ac:dyDescent="0.25">
      <c r="A203" s="52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</row>
    <row r="204" spans="1:21" ht="15.75" customHeight="1" x14ac:dyDescent="0.25">
      <c r="A204" s="52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</row>
    <row r="205" spans="1:21" ht="15.75" customHeight="1" x14ac:dyDescent="0.25">
      <c r="A205" s="52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</row>
    <row r="206" spans="1:21" ht="15.75" customHeight="1" x14ac:dyDescent="0.25">
      <c r="A206" s="52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</row>
    <row r="207" spans="1:21" ht="15.75" customHeight="1" x14ac:dyDescent="0.25">
      <c r="A207" s="52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</row>
    <row r="208" spans="1:21" ht="15.75" customHeight="1" x14ac:dyDescent="0.25">
      <c r="A208" s="52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</row>
    <row r="209" spans="1:21" ht="15.75" customHeight="1" x14ac:dyDescent="0.25">
      <c r="A209" s="52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</row>
    <row r="210" spans="1:21" ht="15.75" customHeight="1" x14ac:dyDescent="0.25">
      <c r="A210" s="52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</row>
    <row r="211" spans="1:21" ht="15.75" customHeight="1" x14ac:dyDescent="0.25">
      <c r="A211" s="52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</row>
    <row r="212" spans="1:21" ht="15.75" customHeight="1" x14ac:dyDescent="0.25">
      <c r="A212" s="52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</row>
    <row r="213" spans="1:21" ht="15.75" customHeight="1" x14ac:dyDescent="0.25">
      <c r="A213" s="52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</row>
    <row r="214" spans="1:21" ht="15.75" customHeight="1" x14ac:dyDescent="0.25">
      <c r="A214" s="52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</row>
    <row r="215" spans="1:21" ht="15.75" customHeight="1" x14ac:dyDescent="0.25">
      <c r="A215" s="52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</row>
    <row r="216" spans="1:21" ht="15.75" customHeight="1" x14ac:dyDescent="0.25">
      <c r="A216" s="52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</row>
    <row r="217" spans="1:21" ht="15.75" customHeight="1" x14ac:dyDescent="0.25">
      <c r="A217" s="52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</row>
    <row r="218" spans="1:21" ht="15.75" customHeight="1" x14ac:dyDescent="0.25">
      <c r="A218" s="52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</row>
    <row r="219" spans="1:21" ht="15.75" customHeight="1" x14ac:dyDescent="0.25">
      <c r="A219" s="52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</row>
    <row r="220" spans="1:21" ht="15.75" customHeight="1" x14ac:dyDescent="0.25">
      <c r="A220" s="52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</row>
    <row r="221" spans="1:21" ht="15.75" customHeight="1" x14ac:dyDescent="0.25">
      <c r="A221" s="52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</row>
    <row r="222" spans="1:21" ht="15.75" customHeight="1" x14ac:dyDescent="0.25">
      <c r="A222" s="52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</row>
    <row r="223" spans="1:21" ht="15.75" customHeight="1" x14ac:dyDescent="0.25">
      <c r="A223" s="52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</row>
    <row r="224" spans="1:21" ht="15.75" customHeight="1" x14ac:dyDescent="0.25">
      <c r="A224" s="52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</row>
    <row r="225" spans="1:21" ht="15.75" customHeight="1" x14ac:dyDescent="0.25">
      <c r="A225" s="52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</row>
    <row r="226" spans="1:21" ht="15.75" customHeight="1" x14ac:dyDescent="0.25">
      <c r="A226" s="52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 spans="1:21" ht="15.75" customHeight="1" x14ac:dyDescent="0.25">
      <c r="A227" s="52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</row>
    <row r="228" spans="1:21" ht="15.75" customHeight="1" x14ac:dyDescent="0.25">
      <c r="A228" s="52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</row>
    <row r="229" spans="1:21" ht="15.75" customHeight="1" x14ac:dyDescent="0.25">
      <c r="A229" s="52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</row>
    <row r="230" spans="1:21" ht="15.75" customHeight="1" x14ac:dyDescent="0.25">
      <c r="A230" s="52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</row>
    <row r="231" spans="1:21" ht="15.75" customHeight="1" x14ac:dyDescent="0.25">
      <c r="A231" s="52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</row>
    <row r="232" spans="1:21" ht="15.75" customHeight="1" x14ac:dyDescent="0.25">
      <c r="A232" s="52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</row>
    <row r="233" spans="1:21" ht="15.75" customHeight="1" x14ac:dyDescent="0.25">
      <c r="A233" s="52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</row>
    <row r="234" spans="1:21" ht="15.75" customHeight="1" x14ac:dyDescent="0.25">
      <c r="A234" s="52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</row>
    <row r="235" spans="1:21" ht="15.75" customHeight="1" x14ac:dyDescent="0.25">
      <c r="A235" s="52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</row>
    <row r="236" spans="1:21" ht="15.75" customHeight="1" x14ac:dyDescent="0.25">
      <c r="A236" s="52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</row>
    <row r="237" spans="1:21" ht="15.75" customHeight="1" x14ac:dyDescent="0.25">
      <c r="A237" s="52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</row>
    <row r="238" spans="1:21" ht="15.75" customHeight="1" x14ac:dyDescent="0.25"/>
    <row r="239" spans="1:21" ht="15.75" customHeight="1" x14ac:dyDescent="0.25"/>
    <row r="240" spans="1:2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Pivot Tables </vt:lpstr>
      <vt:lpstr>Skill contribution as per Job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2023-09-25T08:32:15Z</dcterms:created>
  <dcterms:modified xsi:type="dcterms:W3CDTF">2024-12-17T14:43:52Z</dcterms:modified>
</cp:coreProperties>
</file>